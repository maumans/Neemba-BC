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drawings/vmlDrawing2.vml" ContentType="application/vnd.openxmlformats-officedocument.vmlDrawing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de d'emploi" sheetId="1" state="visible" r:id="rId3"/>
    <sheet name="1-Utilisateurs" sheetId="2" state="visible" r:id="rId4"/>
    <sheet name="2-Codes analytiques" sheetId="3" state="visible" r:id="rId5"/>
    <sheet name="3-Services" sheetId="4" state="visible" r:id="rId6"/>
    <sheet name="4-Caisses" sheetId="5" state="visible" r:id="rId7"/>
    <sheet name="5-Valideurs" sheetId="6" state="visible" r:id="rId8"/>
  </sheets>
  <definedNames>
    <definedName function="false" hidden="true" localSheetId="1" name="_xlnm._FilterDatabase" vbProcedure="false">'1-Utilisateurs'!$A$4:$N$56</definedName>
    <definedName function="false" hidden="true" localSheetId="2" name="_xlnm._FilterDatabase" vbProcedure="false">'2-Codes analytiques'!$A$4:$K$41</definedName>
    <definedName function="false" hidden="true" localSheetId="3" name="_xlnm._FilterDatabase" vbProcedure="false">'3-Services'!$A$4:$E$14</definedName>
    <definedName function="false" hidden="true" localSheetId="4" name="_xlnm._FilterDatabase" vbProcedure="false">'4-Caisses'!$A$4:$O$13</definedName>
    <definedName function="false" hidden="true" localSheetId="5" name="_xlnm._FilterDatabase" vbProcedure="false">'5-Valideurs'!$A$4:$G$80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L4" authorId="0">
      <text>
        <r>
          <rPr>
            <sz val="10"/>
            <rFont val="Arial"/>
            <family val="2"/>
          </rPr>
          <t xml:space="preserve">Rôles possibles : Demandeur, Chef de service, CDG, Finance (visa), Directeur Pays, Caissier, Trésorerie, RH, Administrateur, Auditeur (lecture). Plusieurs rôles possibles, séparés par une virgule.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4" authorId="0">
      <text>
        <r>
          <rPr>
            <sz val="10"/>
            <rFont val="Arial"/>
            <family val="2"/>
          </rPr>
          <t xml:space="preserve">Les codes complets font 10 caractères (radical + 4 caractères, ex. ADAZZZ0942). La plateforme propose le radical ; les 4 derniers caractères (souvent 9999 ou ZZZZ) sont-ils à saisir ? Question au CDG.</t>
        </r>
      </text>
    </comment>
  </commentList>
</comments>
</file>

<file path=xl/sharedStrings.xml><?xml version="1.0" encoding="utf-8"?>
<sst xmlns="http://schemas.openxmlformats.org/spreadsheetml/2006/main" count="890" uniqueCount="372">
  <si>
    <t xml:space="preserve">Référentiels de paramétrage — Plateforme Bons de Caisse &amp; ODM, tous sites</t>
  </si>
  <si>
    <t xml:space="preserve">Neemba Guinée × Addvalis — modèle pré-rempli — version 2 du 06/10/2026 (après le comité)</t>
  </si>
  <si>
    <t xml:space="preserve">Ce fichier sert à paramétrer la plateforme pour tous les sites : comptes utilisateurs, codes analytiques, services, caisses et circuits de validation.</t>
  </si>
  <si>
    <t xml:space="preserve">Légende</t>
  </si>
  <si>
    <t xml:space="preserve">Cellules grises : pré-remplies par Addvalis à partir des documents reçus. À corriger si besoin.</t>
  </si>
  <si>
    <t xml:space="preserve">Cellules jaunes : à compléter par Neemba, y compris toute valeur marquée « (à confirmer) ».</t>
  </si>
  <si>
    <t xml:space="preserve">Onglet 1 : la première ligne « EXEMPLE » montre le format attendu ; elle peut être supprimée.</t>
  </si>
  <si>
    <t xml:space="preserve">Onglet — responsable — échéance</t>
  </si>
  <si>
    <t xml:space="preserve">Onglet</t>
  </si>
  <si>
    <t xml:space="preserve">Responsable proposé</t>
  </si>
  <si>
    <t xml:space="preserve">Échéance</t>
  </si>
  <si>
    <t xml:space="preserve">Cellules jaunes restantes</t>
  </si>
  <si>
    <t xml:space="preserve">1-Utilisateurs</t>
  </si>
  <si>
    <t xml:space="preserve">Trésorerie + RH (statut cadre / non-cadre)</t>
  </si>
  <si>
    <t xml:space="preserve">09/10/2026</t>
  </si>
  <si>
    <t xml:space="preserve">2-Codes analytiques</t>
  </si>
  <si>
    <t xml:space="preserve">Contrôle de gestion — Saliou BOIRO (libellés, lignes à trancher)</t>
  </si>
  <si>
    <t xml:space="preserve">3-Services</t>
  </si>
  <si>
    <t xml:space="preserve">Contrôle de gestion</t>
  </si>
  <si>
    <t xml:space="preserve">4-Caisses</t>
  </si>
  <si>
    <t xml:space="preserve">Trésorerie — Mariamagbè CAMARA</t>
  </si>
  <si>
    <t xml:space="preserve">13/10/2026</t>
  </si>
  <si>
    <t xml:space="preserve">5-Valideurs</t>
  </si>
  <si>
    <t xml:space="preserve">DAF / Trésorerie, avec les relais des sites</t>
  </si>
  <si>
    <t xml:space="preserve">Le compteur inclut les lignes vides prévues pour ajouter des utilisateurs et des codes : il ne descend pas à zéro, c'est normal.</t>
  </si>
  <si>
    <t xml:space="preserve">Point 11 — Fichier utilisateurs</t>
  </si>
  <si>
    <t xml:space="preserve">Pré-rempli par Addvalis avec les personnes citées dans les échanges. À compléter par la Trésorerie et les RH : tous les utilisateurs de tous les sites, matricule, téléphone, entité (Neemba Guinée / Neemba Mining), statut cadre / non-cadre. Suppléants : onglet 5.</t>
  </si>
  <si>
    <t xml:space="preserve">Nom</t>
  </si>
  <si>
    <t xml:space="preserve">Prénom</t>
  </si>
  <si>
    <t xml:space="preserve">Matricule</t>
  </si>
  <si>
    <t xml:space="preserve">Email</t>
  </si>
  <si>
    <t xml:space="preserve">Téléphone</t>
  </si>
  <si>
    <t xml:space="preserve">Entité</t>
  </si>
  <si>
    <t xml:space="preserve">Site de rattachement</t>
  </si>
  <si>
    <t xml:space="preserve">Service</t>
  </si>
  <si>
    <t xml:space="preserve">Fonction</t>
  </si>
  <si>
    <t xml:space="preserve">Statut (Cadre / Non-cadre)</t>
  </si>
  <si>
    <t xml:space="preserve">Responsable N+1</t>
  </si>
  <si>
    <t xml:space="preserve">Rôle(s) dans la plateforme</t>
  </si>
  <si>
    <t xml:space="preserve">Actif (O/N)</t>
  </si>
  <si>
    <t xml:space="preserve">Commentaire</t>
  </si>
  <si>
    <t xml:space="preserve">EXEMPLE — DIALLO</t>
  </si>
  <si>
    <t xml:space="preserve">Mamadou</t>
  </si>
  <si>
    <t xml:space="preserve">20999</t>
  </si>
  <si>
    <t xml:space="preserve">prenom.nom@neemba.com</t>
  </si>
  <si>
    <t xml:space="preserve">+224 6XX XX XX XX</t>
  </si>
  <si>
    <t xml:space="preserve">Neemba Guinée</t>
  </si>
  <si>
    <t xml:space="preserve">Conakry</t>
  </si>
  <si>
    <t xml:space="preserve">Technique</t>
  </si>
  <si>
    <t xml:space="preserve">Technicien</t>
  </si>
  <si>
    <t xml:space="preserve">Non-cadre</t>
  </si>
  <si>
    <t xml:space="preserve">BANGOURA Thomas</t>
  </si>
  <si>
    <t xml:space="preserve">Demandeur</t>
  </si>
  <si>
    <t xml:space="preserve">O</t>
  </si>
  <si>
    <t xml:space="preserve">Ligne d'exemple, à supprimer</t>
  </si>
  <si>
    <t xml:space="preserve">DIAKITE</t>
  </si>
  <si>
    <t xml:space="preserve">Mohamed</t>
  </si>
  <si>
    <t xml:space="preserve">mohamed.diakite@neemba.com</t>
  </si>
  <si>
    <t xml:space="preserve">DAF</t>
  </si>
  <si>
    <t xml:space="preserve">Directeur Administratif et Financier</t>
  </si>
  <si>
    <t xml:space="preserve">LO Mamadou</t>
  </si>
  <si>
    <t xml:space="preserve">Finance (visa DAF), Demandeur</t>
  </si>
  <si>
    <t xml:space="preserve">CISS</t>
  </si>
  <si>
    <t xml:space="preserve">Mor</t>
  </si>
  <si>
    <t xml:space="preserve">DAF adjoint</t>
  </si>
  <si>
    <t xml:space="preserve">DIAKITE Mohamed</t>
  </si>
  <si>
    <t xml:space="preserve">Finance (visa), Demandeur</t>
  </si>
  <si>
    <t xml:space="preserve">BAH</t>
  </si>
  <si>
    <t xml:space="preserve">Mamadou Alpha</t>
  </si>
  <si>
    <t xml:space="preserve">mamadou-alpha.bah@neemba.com</t>
  </si>
  <si>
    <t xml:space="preserve">Chef comptable</t>
  </si>
  <si>
    <t xml:space="preserve">LO</t>
  </si>
  <si>
    <t xml:space="preserve">Direction</t>
  </si>
  <si>
    <t xml:space="preserve">Directeur Pays</t>
  </si>
  <si>
    <t xml:space="preserve">—</t>
  </si>
  <si>
    <t xml:space="preserve">BOIRO</t>
  </si>
  <si>
    <t xml:space="preserve">Saliou</t>
  </si>
  <si>
    <t xml:space="preserve">saliou.boiro@neemba.com</t>
  </si>
  <si>
    <t xml:space="preserve">Contrôleur de gestion</t>
  </si>
  <si>
    <t xml:space="preserve">CDG, Demandeur</t>
  </si>
  <si>
    <t xml:space="preserve">CAMARA</t>
  </si>
  <si>
    <t xml:space="preserve">Mariamagbè</t>
  </si>
  <si>
    <t xml:space="preserve">mariamgbe.camara@neemba.com</t>
  </si>
  <si>
    <t xml:space="preserve">+224 622 35 29 40</t>
  </si>
  <si>
    <t xml:space="preserve">Responsable trésorerie</t>
  </si>
  <si>
    <t xml:space="preserve">Trésorerie, Demandeur</t>
  </si>
  <si>
    <t xml:space="preserve">TOURE</t>
  </si>
  <si>
    <t xml:space="preserve">Youssouf</t>
  </si>
  <si>
    <t xml:space="preserve">youssouf.toure@neemba.com</t>
  </si>
  <si>
    <t xml:space="preserve">Assistant trésorier</t>
  </si>
  <si>
    <t xml:space="preserve">CAMARA Mariamagbè</t>
  </si>
  <si>
    <t xml:space="preserve">Trésorerie, Caissier (à confirmer)</t>
  </si>
  <si>
    <t xml:space="preserve">Caisse principale Conakry ?</t>
  </si>
  <si>
    <t xml:space="preserve">SOUMAH</t>
  </si>
  <si>
    <t xml:space="preserve">Kadiatou</t>
  </si>
  <si>
    <t xml:space="preserve">kadiatou.soumah@neemba.com</t>
  </si>
  <si>
    <t xml:space="preserve">(à confirmer)</t>
  </si>
  <si>
    <t xml:space="preserve">Trésorerie (à confirmer)</t>
  </si>
  <si>
    <t xml:space="preserve">Destinataire des demandes de réapprovisionnement Atelier</t>
  </si>
  <si>
    <t xml:space="preserve">TOUNKARA</t>
  </si>
  <si>
    <t xml:space="preserve">Raby</t>
  </si>
  <si>
    <t xml:space="preserve">raby.tounkara@neemba.com</t>
  </si>
  <si>
    <t xml:space="preserve">+224 622 35 28 40</t>
  </si>
  <si>
    <t xml:space="preserve">Responsable Atelier</t>
  </si>
  <si>
    <t xml:space="preserve">Caissier — caisse Atelier, Demandeur</t>
  </si>
  <si>
    <t xml:space="preserve">Gestionnaire de la caisse Atelier (confirmé 29/09)</t>
  </si>
  <si>
    <t xml:space="preserve">BANGOURA</t>
  </si>
  <si>
    <t xml:space="preserve">Thomas</t>
  </si>
  <si>
    <t xml:space="preserve">thomas.bangoura@neemba.com</t>
  </si>
  <si>
    <t xml:space="preserve">+224 622 79 07 83</t>
  </si>
  <si>
    <t xml:space="preserve">Chef Atelier Énergie</t>
  </si>
  <si>
    <t xml:space="preserve">Chef de service (Atelier), Demandeur</t>
  </si>
  <si>
    <t xml:space="preserve">Valideur ODM (chef d'atelier) ?</t>
  </si>
  <si>
    <t xml:space="preserve">KOLIE</t>
  </si>
  <si>
    <t xml:space="preserve">Philippe</t>
  </si>
  <si>
    <t xml:space="preserve">philippe.kolie@neemba.com</t>
  </si>
  <si>
    <t xml:space="preserve">Demandeur (ODM)</t>
  </si>
  <si>
    <t xml:space="preserve">Établit les fiches ODM de l'Atelier</t>
  </si>
  <si>
    <t xml:space="preserve">BARRY</t>
  </si>
  <si>
    <t xml:space="preserve">Mariama</t>
  </si>
  <si>
    <t xml:space="preserve">mariama.barry@neemba.com</t>
  </si>
  <si>
    <t xml:space="preserve">+224 612 33 55 55</t>
  </si>
  <si>
    <t xml:space="preserve">Moyens Généraux</t>
  </si>
  <si>
    <t xml:space="preserve">Office Manager</t>
  </si>
  <si>
    <t xml:space="preserve">Souadou</t>
  </si>
  <si>
    <t xml:space="preserve">souadou.barry@neemba.com</t>
  </si>
  <si>
    <t xml:space="preserve">KEITA</t>
  </si>
  <si>
    <t xml:space="preserve">Abdoulaye</t>
  </si>
  <si>
    <t xml:space="preserve">Ressources Humaines</t>
  </si>
  <si>
    <t xml:space="preserve">RH</t>
  </si>
  <si>
    <t xml:space="preserve">Cité pour la liste des services</t>
  </si>
  <si>
    <t xml:space="preserve">Astou</t>
  </si>
  <si>
    <t xml:space="preserve">astou.camara@neemba.com</t>
  </si>
  <si>
    <t xml:space="preserve">+224 629 96 75 27</t>
  </si>
  <si>
    <t xml:space="preserve">PMO</t>
  </si>
  <si>
    <t xml:space="preserve">Administrateur fonctionnel (à confirmer)</t>
  </si>
  <si>
    <t xml:space="preserve">SYLLA</t>
  </si>
  <si>
    <t xml:space="preserve">Mama Aissata</t>
  </si>
  <si>
    <t xml:space="preserve">Présente au comité du 06/10 ; citée par le CDG pour les codes analytiques</t>
  </si>
  <si>
    <t xml:space="preserve">Baba</t>
  </si>
  <si>
    <t xml:space="preserve">baba.diakite@neemba.com</t>
  </si>
  <si>
    <t xml:space="preserve">Informatique</t>
  </si>
  <si>
    <t xml:space="preserve">Responsable IT</t>
  </si>
  <si>
    <t xml:space="preserve">Administrateur technique</t>
  </si>
  <si>
    <t xml:space="preserve">Thierno Sounounou</t>
  </si>
  <si>
    <t xml:space="preserve">20865</t>
  </si>
  <si>
    <t xml:space="preserve">Demandeur / bénéficiaire ODM</t>
  </si>
  <si>
    <t xml:space="preserve">Yacouba</t>
  </si>
  <si>
    <t xml:space="preserve">yacouba.barry@neemba.com</t>
  </si>
  <si>
    <t xml:space="preserve">Abdoul Rahim</t>
  </si>
  <si>
    <t xml:space="preserve">abdoul-rahim.barry@neemba.com</t>
  </si>
  <si>
    <t xml:space="preserve">DIALLO</t>
  </si>
  <si>
    <t xml:space="preserve">Amadou Oury</t>
  </si>
  <si>
    <t xml:space="preserve">Point 12 — Référentiel analytique</t>
  </si>
  <si>
    <t xml:space="preserve">Construit à partir du fichier « CODES ANALYTIQUES ET LISTE SERVICES » : les 22 radicaux de la liste de référence (onglet TCD), complétés par l'usage réel en caisse (journaux Caisse Conakry, Boké, Sangarédi, CORICA ; janv.–juil. 2024). Le CDG complète les libellés et tranche les lignes commentées.</t>
  </si>
  <si>
    <t xml:space="preserve">Radical analytique (6 caractères)</t>
  </si>
  <si>
    <t xml:space="preserve">Statut</t>
  </si>
  <si>
    <t xml:space="preserve">Code service (liste de référence CDG)</t>
  </si>
  <si>
    <t xml:space="preserve">Libellé du code</t>
  </si>
  <si>
    <t xml:space="preserve">Services réellement imputés en caisse (nb)</t>
  </si>
  <si>
    <t xml:space="preserve">Sites observés en caisse</t>
  </si>
  <si>
    <t xml:space="preserve">Nb d'opérations de caisse (janv.–juil. 2024)</t>
  </si>
  <si>
    <t xml:space="preserve">Natures de dépenses les plus fréquentes</t>
  </si>
  <si>
    <t xml:space="preserve">Validé par le CDG (O/N)</t>
  </si>
  <si>
    <t xml:space="preserve">Point à trancher / commentaire</t>
  </si>
  <si>
    <t xml:space="preserve">MACZZZ</t>
  </si>
  <si>
    <t xml:space="preserve">Liste de référence</t>
  </si>
  <si>
    <t xml:space="preserve">200</t>
  </si>
  <si>
    <t xml:space="preserve">900 (304), 200 (202), 300 (22), 800 (18), 500 (2)</t>
  </si>
  <si>
    <t xml:space="preserve">Sangarédi, Conakry, Mandiana, Siguiri, CORICA, Boké</t>
  </si>
  <si>
    <t xml:space="preserve">Missions; Réceptions; Ent. matériel de transport</t>
  </si>
  <si>
    <t xml:space="preserve">Référence 200, mais imputé majoritairement en 900 en caisse : quel service retenir ?</t>
  </si>
  <si>
    <t xml:space="preserve">ADAZZZ</t>
  </si>
  <si>
    <t xml:space="preserve">200 (417), 900 (11), 800 (7)</t>
  </si>
  <si>
    <t xml:space="preserve">Boké, Conakry, Siguiri, Mandiana, CORICA, Sangarédi</t>
  </si>
  <si>
    <t xml:space="preserve">Ss traitance/ contrat d'ent.; Mission depannage; Missions</t>
  </si>
  <si>
    <t xml:space="preserve">Quelques imputations sur d'autres services : erreurs de saisie ?</t>
  </si>
  <si>
    <t xml:space="preserve">DIRZZZ</t>
  </si>
  <si>
    <t xml:space="preserve">900</t>
  </si>
  <si>
    <t xml:space="preserve">900 (155), 200 (2)</t>
  </si>
  <si>
    <t xml:space="preserve">Conakry, Sangarédi, Mandiana, Siguiri, Boké</t>
  </si>
  <si>
    <t xml:space="preserve">Réceptions; Avantages en nature; Missions</t>
  </si>
  <si>
    <t xml:space="preserve">MPRZZZ</t>
  </si>
  <si>
    <t xml:space="preserve">300</t>
  </si>
  <si>
    <t xml:space="preserve">300 (145), 900 (4), 800 (3), 200 (2)</t>
  </si>
  <si>
    <t xml:space="preserve">Conakry, Boké, Mandiana, CORICA, Sangarédi, Siguiri</t>
  </si>
  <si>
    <t xml:space="preserve">Missions; Achat étude prest de services; Transport sur ventes pieces</t>
  </si>
  <si>
    <t xml:space="preserve">DAFZZZ</t>
  </si>
  <si>
    <t xml:space="preserve">900 (135), 200 (2)</t>
  </si>
  <si>
    <t xml:space="preserve">Conakry, Sangarédi, Boké</t>
  </si>
  <si>
    <t xml:space="preserve">Réceptions; Autres frais de transport; Ent. matériel de transport</t>
  </si>
  <si>
    <t xml:space="preserve">SGNZZZ</t>
  </si>
  <si>
    <t xml:space="preserve">900 (106)</t>
  </si>
  <si>
    <t xml:space="preserve">Conakry, Boké</t>
  </si>
  <si>
    <t xml:space="preserve">Ent. rép. biens immobiliers; Achat étude prest de services; Médecine du travail et pharmac</t>
  </si>
  <si>
    <t xml:space="preserve">SMIZZZ</t>
  </si>
  <si>
    <t xml:space="preserve">100 (48), 300 (33)</t>
  </si>
  <si>
    <t xml:space="preserve">Boké, Conakry, Sangarédi</t>
  </si>
  <si>
    <t xml:space="preserve">Missions; Ent. matériel de transport; Missions/assistance extérieure</t>
  </si>
  <si>
    <t xml:space="preserve">Référence 300, mais imputé surtout en 100 en caisse : à trancher</t>
  </si>
  <si>
    <t xml:space="preserve">ADVZZZ</t>
  </si>
  <si>
    <t xml:space="preserve">100</t>
  </si>
  <si>
    <t xml:space="preserve">100 (50), 900 (4), 400 (1)</t>
  </si>
  <si>
    <t xml:space="preserve">Conakry, Boké, Mandiana</t>
  </si>
  <si>
    <t xml:space="preserve">Cadeaux clientèle, effort comm; Transport sur ventes; Réceptions</t>
  </si>
  <si>
    <t xml:space="preserve">IGEZZZ</t>
  </si>
  <si>
    <t xml:space="preserve">200 (30)</t>
  </si>
  <si>
    <t xml:space="preserve">Conakry, Siguiri</t>
  </si>
  <si>
    <t xml:space="preserve">Consommables ateliers; Mission depannage; Carburants et lubrifiants</t>
  </si>
  <si>
    <t xml:space="preserve">DRHZZZ</t>
  </si>
  <si>
    <t xml:space="preserve">900 (24), 800 (1)</t>
  </si>
  <si>
    <t xml:space="preserve">Conakry, Sangarédi</t>
  </si>
  <si>
    <t xml:space="preserve">Missions; Ent. matériel de transport; Frais de formation personnel</t>
  </si>
  <si>
    <t xml:space="preserve">INFZZZ</t>
  </si>
  <si>
    <t xml:space="preserve">900 (17)</t>
  </si>
  <si>
    <t xml:space="preserve">Frais internet; Achat étude prest de services; Maintenance</t>
  </si>
  <si>
    <t xml:space="preserve">MMICBS</t>
  </si>
  <si>
    <t xml:space="preserve">200 (12), 900 (1)</t>
  </si>
  <si>
    <t xml:space="preserve">Sangarédi, Boké</t>
  </si>
  <si>
    <t xml:space="preserve">Frais internet; Frais de formation personnel; Missions</t>
  </si>
  <si>
    <t xml:space="preserve">Code Neemba Mining (séance du 06/10) : à garder dans la plateforme Neemba Guinée ?</t>
  </si>
  <si>
    <t xml:space="preserve">LOCZZZ</t>
  </si>
  <si>
    <t xml:space="preserve">400</t>
  </si>
  <si>
    <t xml:space="preserve">400 (11)</t>
  </si>
  <si>
    <t xml:space="preserve">Conakry, Siguiri, Mandiana</t>
  </si>
  <si>
    <t xml:space="preserve">Missions location; Transport sur mat. de location; Autres frais de transport</t>
  </si>
  <si>
    <t xml:space="preserve">CCFZZZ</t>
  </si>
  <si>
    <t xml:space="preserve">100 (8)</t>
  </si>
  <si>
    <t xml:space="preserve">Missions; Ent. matériel de transport; Carburants et lubrifiants</t>
  </si>
  <si>
    <t xml:space="preserve">MKTZZZ</t>
  </si>
  <si>
    <t xml:space="preserve">900 (7)</t>
  </si>
  <si>
    <t xml:space="preserve">Articles publicitaires; Achat de petit matériel et out; Autres frais de transport</t>
  </si>
  <si>
    <t xml:space="preserve">Référence 100, mais imputé en 900 en caisse : à trancher</t>
  </si>
  <si>
    <t xml:space="preserve">INFREG</t>
  </si>
  <si>
    <t xml:space="preserve">900 (6)</t>
  </si>
  <si>
    <t xml:space="preserve">Frais internet</t>
  </si>
  <si>
    <t xml:space="preserve">FLXZZZ</t>
  </si>
  <si>
    <t xml:space="preserve">300 (4)</t>
  </si>
  <si>
    <t xml:space="preserve">Boké</t>
  </si>
  <si>
    <t xml:space="preserve">Missions; Achat de petit matériel et out; Ent. rép. biens immobiliers</t>
  </si>
  <si>
    <t xml:space="preserve">DAFREG</t>
  </si>
  <si>
    <t xml:space="preserve">900 (3)</t>
  </si>
  <si>
    <t xml:space="preserve">Frais internet; Missions/assistance extérieure; Réceptions</t>
  </si>
  <si>
    <t xml:space="preserve">LABZZZ</t>
  </si>
  <si>
    <t xml:space="preserve">600</t>
  </si>
  <si>
    <t xml:space="preserve">200 (2)</t>
  </si>
  <si>
    <t xml:space="preserve">Consommables labo; Ent. rép. biens immobiliers</t>
  </si>
  <si>
    <t xml:space="preserve">Référence 600, mais imputé en 200 en caisse : à trancher</t>
  </si>
  <si>
    <t xml:space="preserve">SMOZZZ</t>
  </si>
  <si>
    <t xml:space="preserve">300 (1)</t>
  </si>
  <si>
    <t xml:space="preserve">Ent. matériel de transport</t>
  </si>
  <si>
    <t xml:space="preserve">CGEZZZ</t>
  </si>
  <si>
    <t xml:space="preserve">Aucune opération de caisse sur la période : à garder ?</t>
  </si>
  <si>
    <t xml:space="preserve">DEPZZZ</t>
  </si>
  <si>
    <t xml:space="preserve">ZZZZZZ</t>
  </si>
  <si>
    <t xml:space="preserve">Hors liste (utilisé en caisse)</t>
  </si>
  <si>
    <t xml:space="preserve">900 (60), 200 (7)</t>
  </si>
  <si>
    <t xml:space="preserve">Boké, Conakry</t>
  </si>
  <si>
    <t xml:space="preserve">Réceptions; Electricité logements; Ent rép  mobiliers de logement</t>
  </si>
  <si>
    <t xml:space="preserve">Code « non affecté » : à interdire dans la plateforme ?</t>
  </si>
  <si>
    <t xml:space="preserve">CIDZZZ</t>
  </si>
  <si>
    <t xml:space="preserve">100 (2)</t>
  </si>
  <si>
    <t xml:space="preserve">Transport sur ventes</t>
  </si>
  <si>
    <t xml:space="preserve">Absent de la liste de référence : à ajouter ou à interdire ?</t>
  </si>
  <si>
    <t xml:space="preserve">KAMZZZ</t>
  </si>
  <si>
    <t xml:space="preserve">100 (1), 900 (1)</t>
  </si>
  <si>
    <t xml:space="preserve">Cadeaux clientèle, effort comm; Réceptions</t>
  </si>
  <si>
    <t xml:space="preserve">LOCOPE</t>
  </si>
  <si>
    <t xml:space="preserve">400 (1)</t>
  </si>
  <si>
    <t xml:space="preserve">À ajouter</t>
  </si>
  <si>
    <t xml:space="preserve">Codes de l'Atelier</t>
  </si>
  <si>
    <t xml:space="preserve">Conakry — Atelier</t>
  </si>
  <si>
    <t xml:space="preserve">Aucun code propre à l'Atelier dans le fichier : en existe-t-il ?</t>
  </si>
  <si>
    <t xml:space="preserve">Point 13 — Services et correspondances</t>
  </si>
  <si>
    <t xml:space="preserve">Pour chaque service : code numérique du référentiel comptable. Codes observés dans la comptabilité : 100, 101, 200, 300, 400, 500, 600, 800, 900 et équivalent sur la fiche ODM (SERVICE, BUS, LOCATION, ADMINISTRATION, LOGISTIQUE). Cela permet d'utiliser une seule liste partout.</t>
  </si>
  <si>
    <t xml:space="preserve">Service (liste du CDG)</t>
  </si>
  <si>
    <t xml:space="preserve">Code numérique comptable</t>
  </si>
  <si>
    <t xml:space="preserve">Équivalent sur la fiche ODM</t>
  </si>
  <si>
    <t xml:space="preserve">Chef de service à Conakry</t>
  </si>
  <si>
    <t xml:space="preserve">ADMINISTRATION</t>
  </si>
  <si>
    <t xml:space="preserve">Correspondance proposée par Addvalis : à confirmer</t>
  </si>
  <si>
    <t xml:space="preserve">Équivalent ODM à indiquer</t>
  </si>
  <si>
    <t xml:space="preserve">« Parfois saisi ADMINISTRATION » (séance du 06/10) : à confirmer</t>
  </si>
  <si>
    <t xml:space="preserve">Aftermarket</t>
  </si>
  <si>
    <t xml:space="preserve">SERVICE</t>
  </si>
  <si>
    <t xml:space="preserve">BANGOURA Thomas (Atelier) (à confirmer)</t>
  </si>
  <si>
    <t xml:space="preserve">PSSR</t>
  </si>
  <si>
    <t xml:space="preserve">Location</t>
  </si>
  <si>
    <t xml:space="preserve">LOCATION</t>
  </si>
  <si>
    <t xml:space="preserve">Logistique</t>
  </si>
  <si>
    <t xml:space="preserve">LOGISTIQUE</t>
  </si>
  <si>
    <t xml:space="preserve">Point 14 — Matrice de paramétrage par caisse</t>
  </si>
  <si>
    <t xml:space="preserve">Plafonds et seuils pré-remplis à partir de la procédure et du tableau du 29/09. À compléter par la Trésorerie : caissier, suppléant, réapprovisionnement, destinataires du rapport, valeurs « à confirmer ».</t>
  </si>
  <si>
    <t xml:space="preserve">Site</t>
  </si>
  <si>
    <t xml:space="preserve">Code site</t>
  </si>
  <si>
    <t xml:space="preserve">Caisse</t>
  </si>
  <si>
    <t xml:space="preserve">Nature</t>
  </si>
  <si>
    <t xml:space="preserve">Plafond de caisse (GNF)</t>
  </si>
  <si>
    <t xml:space="preserve">Seuil de réapprovisionnement (GNF)</t>
  </si>
  <si>
    <t xml:space="preserve">Plafond de retrait par bon (GNF)</t>
  </si>
  <si>
    <t xml:space="preserve">Gestionnaire / caissier</t>
  </si>
  <si>
    <t xml:space="preserve">Suppléant du caissier</t>
  </si>
  <si>
    <t xml:space="preserve">Mode de réapprovisionnement</t>
  </si>
  <si>
    <t xml:space="preserve">Caisse ou compte qui réapprovisionne</t>
  </si>
  <si>
    <t xml:space="preserve">Destinataires du rapport journalier</t>
  </si>
  <si>
    <t xml:space="preserve">Encaissements clients (O/N)</t>
  </si>
  <si>
    <t xml:space="preserve">01</t>
  </si>
  <si>
    <t xml:space="preserve">Caisse principale Conakry</t>
  </si>
  <si>
    <t xml:space="preserve">Espèces</t>
  </si>
  <si>
    <t xml:space="preserve">Virement bancaire</t>
  </si>
  <si>
    <t xml:space="preserve">Banque</t>
  </si>
  <si>
    <t xml:space="preserve">BAH Mamadou Alpha, TOURE Youssouf, CAMARA Mariamagbè, DIAKITE Mohamed, CISS Mor</t>
  </si>
  <si>
    <t xml:space="preserve">Caisse Orange Money</t>
  </si>
  <si>
    <t xml:space="preserve">Orange Money</t>
  </si>
  <si>
    <t xml:space="preserve">Sans plafond</t>
  </si>
  <si>
    <t xml:space="preserve">N</t>
  </si>
  <si>
    <t xml:space="preserve">Pas de plafond de retrait par bon (séance du 06/10)</t>
  </si>
  <si>
    <t xml:space="preserve">Caisse Atelier</t>
  </si>
  <si>
    <t xml:space="preserve">TOUNKARA Raby</t>
  </si>
  <si>
    <t xml:space="preserve">Avance fixe (retour au plafond)</t>
  </si>
  <si>
    <t xml:space="preserve">Caisse principale Conakry (à confirmer)</t>
  </si>
  <si>
    <t xml:space="preserve">Avance fixe de 15 M confirmée le 06/10. Code analytique Atelier à fournir</t>
  </si>
  <si>
    <t xml:space="preserve">Sangarédi</t>
  </si>
  <si>
    <t xml:space="preserve">11</t>
  </si>
  <si>
    <t xml:space="preserve">Caisse Sangarédi</t>
  </si>
  <si>
    <t xml:space="preserve">4 M selon la procédure ; montant confus en séance du 06/10 (4 M / 2 M / 1 M) : à confirmer</t>
  </si>
  <si>
    <t xml:space="preserve">31</t>
  </si>
  <si>
    <t xml:space="preserve">Caisse Boké</t>
  </si>
  <si>
    <t xml:space="preserve">Siguiri (Location)</t>
  </si>
  <si>
    <t xml:space="preserve">81</t>
  </si>
  <si>
    <t xml:space="preserve">Caisse Siguiri Location</t>
  </si>
  <si>
    <t xml:space="preserve">Mandiana (Siguiri Technique)</t>
  </si>
  <si>
    <t xml:space="preserve">39</t>
  </si>
  <si>
    <t xml:space="preserve">Caisse Siguiri Technique</t>
  </si>
  <si>
    <t xml:space="preserve">Mandiana = Siguiri Technique (séance du 06/10)</t>
  </si>
  <si>
    <t xml:space="preserve">CORICA</t>
  </si>
  <si>
    <t xml:space="preserve">49</t>
  </si>
  <si>
    <t xml:space="preserve">Caisse CORICA</t>
  </si>
  <si>
    <t xml:space="preserve">CORICA = Kouroussa (séance du 06/10)</t>
  </si>
  <si>
    <t xml:space="preserve">Simandou / SIMFER</t>
  </si>
  <si>
    <t xml:space="preserve">Neemba Mining (à confirmer)</t>
  </si>
  <si>
    <t xml:space="preserve">Caisse Simandou / SIMFER</t>
  </si>
  <si>
    <t xml:space="preserve">Existe-t-elle ? Relève de Neemba Mining selon la séance du 06/10 : inclusion au périmètre à confirmer</t>
  </si>
  <si>
    <t xml:space="preserve">Point 14 — Valideurs et suppléants</t>
  </si>
  <si>
    <t xml:space="preserve">Valideurs communs à tous les sites en haut ; puis un chef de service par site et par service. Tout suppléant doit être désigné par écrit au DAF (procédure §5.2.1.2).</t>
  </si>
  <si>
    <t xml:space="preserve">Niveau</t>
  </si>
  <si>
    <t xml:space="preserve">Titulaire</t>
  </si>
  <si>
    <t xml:space="preserve">Suppléant 1</t>
  </si>
  <si>
    <t xml:space="preserve">Suppléant 2</t>
  </si>
  <si>
    <t xml:space="preserve">Tous</t>
  </si>
  <si>
    <t xml:space="preserve">Contrôle de gestion (CDG)</t>
  </si>
  <si>
    <t xml:space="preserve">BOIRO Saliou</t>
  </si>
  <si>
    <t xml:space="preserve">Sur le bon de caisse uniquement, pas sur l'ODM (séance du 06/10)</t>
  </si>
  <si>
    <t xml:space="preserve">Finance (visa)</t>
  </si>
  <si>
    <t xml:space="preserve">DIAKITE Mohamed (DAF)</t>
  </si>
  <si>
    <t xml:space="preserve">CISS Mor (DAF adjoint)</t>
  </si>
  <si>
    <t xml:space="preserve">BAH Mamadou Alpha (chef comptable)</t>
  </si>
  <si>
    <t xml:space="preserve">Un seul des trois suffit</t>
  </si>
  <si>
    <t xml:space="preserve">Directeur Pays (au-delà de 1 500 000 GNF)</t>
  </si>
  <si>
    <t xml:space="preserve">Suppléant désigné par écrit en cas d'absence</t>
  </si>
  <si>
    <t xml:space="preserve">Trésorerie (réapprovisionnements, arrêtés)</t>
  </si>
  <si>
    <t xml:space="preserve">TOURE Youssouf</t>
  </si>
  <si>
    <t xml:space="preserve">SOUMAH Kadiatou (à confirmer)</t>
  </si>
  <si>
    <t xml:space="preserve">RH (retenues sur salaire, statut cadre)</t>
  </si>
  <si>
    <t xml:space="preserve">KEITA Abdoulaye (à confirmer)</t>
  </si>
  <si>
    <t xml:space="preserve">Pas de visa RH sur les ODM (séance du 06/10)</t>
  </si>
  <si>
    <t xml:space="preserve">Technique (Atelier)</t>
  </si>
  <si>
    <t xml:space="preserve">Chef d'atelier / chef d'équipe (ODM)</t>
  </si>
  <si>
    <t xml:space="preserve">BANGOURA Thomas (à confirmer)</t>
  </si>
  <si>
    <t xml:space="preserve">Chef de service</t>
  </si>
  <si>
    <t xml:space="preserve">Laisser vide si le service n'existe pas sur le site</t>
  </si>
  <si>
    <t xml:space="preserve">Périmètre Neemba Mining à confirmer avant de remplir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</si>
</sst>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\ ##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0C447C"/>
      <name val="Arial"/>
      <family val="0"/>
      <charset val="1"/>
    </font>
    <font>
      <sz val="10"/>
      <color rgb="FF1A1A1A"/>
      <name val="Arial"/>
      <family val="0"/>
      <charset val="1"/>
    </font>
    <font>
      <b val="true"/>
      <sz val="11"/>
      <color rgb="FF0C447C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i val="true"/>
      <sz val="10"/>
      <color rgb="FF5E6876"/>
      <name val="Arial"/>
      <family val="0"/>
      <charset val="1"/>
    </font>
    <font>
      <i val="true"/>
      <sz val="10"/>
      <name val="Arial"/>
      <family val="0"/>
      <charset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C447C"/>
        <bgColor rgb="FF333399"/>
      </patternFill>
    </fill>
    <fill>
      <patternFill patternType="solid">
        <fgColor rgb="FFEEF1F5"/>
        <bgColor rgb="FFFFFFFF"/>
      </patternFill>
    </fill>
    <fill>
      <patternFill patternType="solid">
        <fgColor rgb="FFFFF4C2"/>
        <bgColor rgb="FFFFFF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8CED8"/>
      </left>
      <right style="thin">
        <color rgb="FFC8CED8"/>
      </right>
      <top style="thin">
        <color rgb="FFC8CED8"/>
      </top>
      <bottom style="thin">
        <color rgb="FFC8CED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0C447C"/>
          <bgColor rgb="FF000000"/>
        </patternFill>
      </fill>
    </dxf>
    <dxf>
      <fill>
        <patternFill patternType="solid">
          <fgColor rgb="FFEEF1F5"/>
          <bgColor rgb="FF000000"/>
        </patternFill>
      </fill>
    </dxf>
    <dxf>
      <fill>
        <patternFill patternType="solid">
          <fgColor rgb="FFFFF4C2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4C2"/>
      <rgbColor rgb="FFEEF1F5"/>
      <rgbColor rgb="FF660066"/>
      <rgbColor rgb="FFFF8080"/>
      <rgbColor rgb="FF0066CC"/>
      <rgbColor rgb="FFC8CE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E6876"/>
      <rgbColor rgb="FF969696"/>
      <rgbColor rgb="FF0C447C"/>
      <rgbColor rgb="FF339966"/>
      <rgbColor rgb="FF003300"/>
      <rgbColor rgb="FF333300"/>
      <rgbColor rgb="FF993300"/>
      <rgbColor rgb="FF993366"/>
      <rgbColor rgb="FF333399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48"/>
    <col collapsed="false" customWidth="true" hidden="false" outlineLevel="0" max="3" min="3" style="0" width="14"/>
    <col collapsed="false" customWidth="true" hidden="false" outlineLevel="0" max="4" min="4" style="0" width="24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/>
    </row>
    <row r="6" customFormat="false" ht="15" hidden="false" customHeight="false" outlineLevel="0" collapsed="false">
      <c r="A6" s="3" t="s">
        <v>3</v>
      </c>
    </row>
    <row r="7" customFormat="false" ht="15" hidden="false" customHeight="false" outlineLevel="0" collapsed="false">
      <c r="A7" s="2" t="s">
        <v>4</v>
      </c>
    </row>
    <row r="8" customFormat="false" ht="15" hidden="false" customHeight="false" outlineLevel="0" collapsed="false">
      <c r="A8" s="2" t="s">
        <v>5</v>
      </c>
    </row>
    <row r="9" customFormat="false" ht="15" hidden="false" customHeight="false" outlineLevel="0" collapsed="false">
      <c r="A9" s="2" t="s">
        <v>6</v>
      </c>
    </row>
    <row r="10" customFormat="false" ht="15" hidden="false" customHeight="false" outlineLevel="0" collapsed="false">
      <c r="A10" s="2"/>
    </row>
    <row r="11" customFormat="false" ht="15" hidden="false" customHeight="false" outlineLevel="0" collapsed="false">
      <c r="A11" s="3" t="s">
        <v>7</v>
      </c>
    </row>
    <row r="12" customFormat="false" ht="15" hidden="false" customHeight="false" outlineLevel="0" collapsed="false">
      <c r="A12" s="4" t="s">
        <v>8</v>
      </c>
      <c r="B12" s="4" t="s">
        <v>9</v>
      </c>
      <c r="C12" s="4" t="s">
        <v>10</v>
      </c>
      <c r="D12" s="4" t="s">
        <v>11</v>
      </c>
    </row>
    <row r="13" customFormat="false" ht="15" hidden="false" customHeight="false" outlineLevel="0" collapsed="false">
      <c r="A13" s="5" t="s">
        <v>12</v>
      </c>
      <c r="B13" s="5" t="s">
        <v>13</v>
      </c>
      <c r="C13" s="5" t="s">
        <v>14</v>
      </c>
      <c r="D13" s="5" t="n">
        <f aca="false">COUNTBLANK('1-Utilisateurs'!A5:A56)+COUNTBLANK('1-Utilisateurs'!B5:B56)+COUNTBLANK('1-Utilisateurs'!C5:C56)+COUNTBLANK('1-Utilisateurs'!D5:D56)+COUNTBLANK('1-Utilisateurs'!E5:E56)+COUNTBLANK('1-Utilisateurs'!F5:F56)+COUNTBLANK('1-Utilisateurs'!G5:G56)+COUNTBLANK('1-Utilisateurs'!H5:H56)+COUNTBLANK('1-Utilisateurs'!I5:I56)+COUNTBLANK('1-Utilisateurs'!J5:J56)+COUNTBLANK('1-Utilisateurs'!K5:K56)+COUNTBLANK('1-Utilisateurs'!L5:L56)+COUNTBLANK('1-Utilisateurs'!M5:M56)+COUNTBLANK('1-Utilisateurs'!N5:N56)+COUNTIF('1-Utilisateurs'!A5:A56,"*à confirmer*")+COUNTIF('1-Utilisateurs'!B5:B56,"*à confirmer*")+COUNTIF('1-Utilisateurs'!C5:C56,"*à confirmer*")+COUNTIF('1-Utilisateurs'!D5:D56,"*à confirmer*")+COUNTIF('1-Utilisateurs'!E5:E56,"*à confirmer*")+COUNTIF('1-Utilisateurs'!F5:F56,"*à confirmer*")+COUNTIF('1-Utilisateurs'!G5:G56,"*à confirmer*")+COUNTIF('1-Utilisateurs'!H5:H56,"*à confirmer*")+COUNTIF('1-Utilisateurs'!I5:I56,"*à confirmer*")+COUNTIF('1-Utilisateurs'!J5:J56,"*à confirmer*")+COUNTIF('1-Utilisateurs'!K5:K56,"*à confirmer*")+COUNTIF('1-Utilisateurs'!L5:L56,"*à confirmer*")+COUNTIF('1-Utilisateurs'!M5:M56,"*à confirmer*")+COUNTIF('1-Utilisateurs'!N5:N56,"*à confirmer*")</f>
        <v>522</v>
      </c>
    </row>
    <row r="14" customFormat="false" ht="15" hidden="false" customHeight="false" outlineLevel="0" collapsed="false">
      <c r="A14" s="5" t="s">
        <v>15</v>
      </c>
      <c r="B14" s="5" t="s">
        <v>16</v>
      </c>
      <c r="C14" s="5" t="s">
        <v>14</v>
      </c>
      <c r="D14" s="5" t="n">
        <f aca="false">COUNTBLANK('2-Codes analytiques'!D5:D41)+COUNTBLANK('2-Codes analytiques'!I5:I41)+COUNTBLANK('2-Codes analytiques'!J5:J41)+COUNTBLANK('2-Codes analytiques'!C5:C41)+COUNTIF('2-Codes analytiques'!D5:D41,"*à confirmer*")+COUNTIF('2-Codes analytiques'!I5:I41,"*à confirmer*")+COUNTIF('2-Codes analytiques'!J5:J41,"*à confirmer*")+COUNTIF('2-Codes analytiques'!C5:C41,"*à confirmer*")</f>
        <v>125</v>
      </c>
    </row>
    <row r="15" customFormat="false" ht="15" hidden="false" customHeight="false" outlineLevel="0" collapsed="false">
      <c r="A15" s="5" t="s">
        <v>17</v>
      </c>
      <c r="B15" s="5" t="s">
        <v>18</v>
      </c>
      <c r="C15" s="5" t="s">
        <v>14</v>
      </c>
      <c r="D15" s="5" t="n">
        <f aca="false">COUNTBLANK('3-Services'!B5:B14)+COUNTBLANK('3-Services'!C5:C14)+COUNTBLANK('3-Services'!D5:D14)+COUNTBLANK('3-Services'!E5:E14)+COUNTIF('3-Services'!B5:B14,"*à confirmer*")+COUNTIF('3-Services'!C5:C14,"*à confirmer*")+COUNTIF('3-Services'!D5:D14,"*à confirmer*")+COUNTIF('3-Services'!E5:E14,"*à confirmer*")</f>
        <v>30</v>
      </c>
    </row>
    <row r="16" customFormat="false" ht="15" hidden="false" customHeight="false" outlineLevel="0" collapsed="false">
      <c r="A16" s="5" t="s">
        <v>19</v>
      </c>
      <c r="B16" s="5" t="s">
        <v>20</v>
      </c>
      <c r="C16" s="5" t="s">
        <v>21</v>
      </c>
      <c r="D16" s="5" t="n">
        <f aca="false">COUNTBLANK('4-Caisses'!B5:B13)+COUNTBLANK('4-Caisses'!C5:C13)+COUNTBLANK('4-Caisses'!H5:H13)+COUNTBLANK('4-Caisses'!I5:I13)+COUNTBLANK('4-Caisses'!J5:J13)+COUNTBLANK('4-Caisses'!K5:K13)+COUNTBLANK('4-Caisses'!L5:L13)+COUNTBLANK('4-Caisses'!M5:M13)+COUNTBLANK('4-Caisses'!O5:O13)+COUNTBLANK('4-Caisses'!F5:F13)+COUNTBLANK('4-Caisses'!G5:G13)+COUNTIF('4-Caisses'!B5:B13,"*à confirmer*")+COUNTIF('4-Caisses'!C5:C13,"*à confirmer*")+COUNTIF('4-Caisses'!H5:H13,"*à confirmer*")+COUNTIF('4-Caisses'!I5:I13,"*à confirmer*")+COUNTIF('4-Caisses'!J5:J13,"*à confirmer*")+COUNTIF('4-Caisses'!K5:K13,"*à confirmer*")+COUNTIF('4-Caisses'!L5:L13,"*à confirmer*")+COUNTIF('4-Caisses'!M5:M13,"*à confirmer*")+COUNTIF('4-Caisses'!O5:O13,"*à confirmer*")+COUNTIF('4-Caisses'!F5:F13,"*à confirmer*")+COUNTIF('4-Caisses'!G5:G13,"*à confirmer*")</f>
        <v>49</v>
      </c>
    </row>
    <row r="17" customFormat="false" ht="15" hidden="false" customHeight="false" outlineLevel="0" collapsed="false">
      <c r="A17" s="5" t="s">
        <v>22</v>
      </c>
      <c r="B17" s="5" t="s">
        <v>23</v>
      </c>
      <c r="C17" s="5" t="s">
        <v>21</v>
      </c>
      <c r="D17" s="5" t="n">
        <f aca="false">COUNTBLANK('5-Valideurs'!D5:D80)+COUNTBLANK('5-Valideurs'!E5:E80)+COUNTBLANK('5-Valideurs'!F5:F80)+COUNTBLANK('5-Valideurs'!G5:G80)+COUNTIF('5-Valideurs'!D5:D80,"*à confirmer*")+COUNTIF('5-Valideurs'!E5:E80,"*à confirmer*")+COUNTIF('5-Valideurs'!F5:F80,"*à confirmer*")+COUNTIF('5-Valideurs'!G5:G80,"*à confirmer*")</f>
        <v>233</v>
      </c>
    </row>
    <row r="19" customFormat="false" ht="15" hidden="false" customHeight="false" outlineLevel="0" collapsed="false">
      <c r="A19" s="6" t="s">
        <v>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8"/>
    <col collapsed="false" customWidth="true" hidden="false" outlineLevel="0" max="3" min="3" style="0" width="11"/>
    <col collapsed="false" customWidth="true" hidden="false" outlineLevel="0" max="4" min="4" style="0" width="30"/>
    <col collapsed="false" customWidth="true" hidden="false" outlineLevel="0" max="6" min="5" style="0" width="18"/>
    <col collapsed="false" customWidth="true" hidden="false" outlineLevel="0" max="7" min="7" style="0" width="16"/>
    <col collapsed="false" customWidth="true" hidden="false" outlineLevel="0" max="8" min="8" style="0" width="18"/>
    <col collapsed="false" customWidth="true" hidden="false" outlineLevel="0" max="9" min="9" style="0" width="26"/>
    <col collapsed="false" customWidth="true" hidden="false" outlineLevel="0" max="10" min="10" style="0" width="14"/>
    <col collapsed="false" customWidth="true" hidden="false" outlineLevel="0" max="11" min="11" style="0" width="20"/>
    <col collapsed="false" customWidth="true" hidden="false" outlineLevel="0" max="12" min="12" style="0" width="34"/>
    <col collapsed="false" customWidth="true" hidden="false" outlineLevel="0" max="13" min="13" style="0" width="9"/>
    <col collapsed="false" customWidth="true" hidden="false" outlineLevel="0" max="14" min="14" style="0" width="38"/>
  </cols>
  <sheetData>
    <row r="1" customFormat="false" ht="16.15" hidden="false" customHeight="false" outlineLevel="0" collapsed="false">
      <c r="A1" s="1" t="s">
        <v>25</v>
      </c>
    </row>
    <row r="2" customFormat="false" ht="15" hidden="false" customHeight="false" outlineLevel="0" collapsed="false">
      <c r="A2" s="6" t="s">
        <v>26</v>
      </c>
    </row>
    <row r="4" customFormat="false" ht="35.05" hidden="false" customHeight="false" outlineLevel="0" collapsed="false">
      <c r="A4" s="7" t="s">
        <v>27</v>
      </c>
      <c r="B4" s="7" t="s">
        <v>28</v>
      </c>
      <c r="C4" s="7" t="s">
        <v>29</v>
      </c>
      <c r="D4" s="7" t="s">
        <v>30</v>
      </c>
      <c r="E4" s="7" t="s">
        <v>31</v>
      </c>
      <c r="F4" s="7" t="s">
        <v>32</v>
      </c>
      <c r="G4" s="7" t="s">
        <v>33</v>
      </c>
      <c r="H4" s="7" t="s">
        <v>34</v>
      </c>
      <c r="I4" s="7" t="s">
        <v>35</v>
      </c>
      <c r="J4" s="7" t="s">
        <v>36</v>
      </c>
      <c r="K4" s="7" t="s">
        <v>37</v>
      </c>
      <c r="L4" s="7" t="s">
        <v>38</v>
      </c>
      <c r="M4" s="7" t="s">
        <v>39</v>
      </c>
      <c r="N4" s="7" t="s">
        <v>40</v>
      </c>
    </row>
    <row r="5" customFormat="false" ht="23.85" hidden="false" customHeight="false" outlineLevel="0" collapsed="false">
      <c r="A5" s="8" t="s">
        <v>41</v>
      </c>
      <c r="B5" s="9" t="s">
        <v>42</v>
      </c>
      <c r="C5" s="9" t="s">
        <v>43</v>
      </c>
      <c r="D5" s="9" t="s">
        <v>44</v>
      </c>
      <c r="E5" s="9" t="s">
        <v>45</v>
      </c>
      <c r="F5" s="9" t="s">
        <v>46</v>
      </c>
      <c r="G5" s="9" t="s">
        <v>47</v>
      </c>
      <c r="H5" s="9" t="s">
        <v>48</v>
      </c>
      <c r="I5" s="9" t="s">
        <v>49</v>
      </c>
      <c r="J5" s="9" t="s">
        <v>50</v>
      </c>
      <c r="K5" s="9" t="s">
        <v>51</v>
      </c>
      <c r="L5" s="9" t="s">
        <v>52</v>
      </c>
      <c r="M5" s="9" t="s">
        <v>53</v>
      </c>
      <c r="N5" s="9" t="s">
        <v>54</v>
      </c>
    </row>
    <row r="6" customFormat="false" ht="23.85" hidden="false" customHeight="false" outlineLevel="0" collapsed="false">
      <c r="A6" s="9" t="s">
        <v>55</v>
      </c>
      <c r="B6" s="9" t="s">
        <v>56</v>
      </c>
      <c r="C6" s="10"/>
      <c r="D6" s="9" t="s">
        <v>57</v>
      </c>
      <c r="E6" s="10"/>
      <c r="F6" s="9" t="s">
        <v>46</v>
      </c>
      <c r="G6" s="9" t="s">
        <v>47</v>
      </c>
      <c r="H6" s="9" t="s">
        <v>58</v>
      </c>
      <c r="I6" s="9" t="s">
        <v>59</v>
      </c>
      <c r="J6" s="10"/>
      <c r="K6" s="9" t="s">
        <v>60</v>
      </c>
      <c r="L6" s="9" t="s">
        <v>61</v>
      </c>
      <c r="M6" s="9" t="s">
        <v>53</v>
      </c>
      <c r="N6" s="10"/>
    </row>
    <row r="7" customFormat="false" ht="15" hidden="false" customHeight="false" outlineLevel="0" collapsed="false">
      <c r="A7" s="9" t="s">
        <v>62</v>
      </c>
      <c r="B7" s="9" t="s">
        <v>63</v>
      </c>
      <c r="C7" s="10"/>
      <c r="D7" s="10"/>
      <c r="E7" s="10"/>
      <c r="F7" s="9" t="s">
        <v>46</v>
      </c>
      <c r="G7" s="9" t="s">
        <v>47</v>
      </c>
      <c r="H7" s="9" t="s">
        <v>58</v>
      </c>
      <c r="I7" s="9" t="s">
        <v>64</v>
      </c>
      <c r="J7" s="10"/>
      <c r="K7" s="9" t="s">
        <v>65</v>
      </c>
      <c r="L7" s="9" t="s">
        <v>66</v>
      </c>
      <c r="M7" s="9" t="s">
        <v>53</v>
      </c>
      <c r="N7" s="10"/>
    </row>
    <row r="8" customFormat="false" ht="15" hidden="false" customHeight="false" outlineLevel="0" collapsed="false">
      <c r="A8" s="9" t="s">
        <v>67</v>
      </c>
      <c r="B8" s="9" t="s">
        <v>68</v>
      </c>
      <c r="C8" s="10"/>
      <c r="D8" s="9" t="s">
        <v>69</v>
      </c>
      <c r="E8" s="10"/>
      <c r="F8" s="9" t="s">
        <v>46</v>
      </c>
      <c r="G8" s="9" t="s">
        <v>47</v>
      </c>
      <c r="H8" s="9" t="s">
        <v>58</v>
      </c>
      <c r="I8" s="9" t="s">
        <v>70</v>
      </c>
      <c r="J8" s="10"/>
      <c r="K8" s="9" t="s">
        <v>65</v>
      </c>
      <c r="L8" s="9" t="s">
        <v>66</v>
      </c>
      <c r="M8" s="9" t="s">
        <v>53</v>
      </c>
      <c r="N8" s="10"/>
    </row>
    <row r="9" customFormat="false" ht="15" hidden="false" customHeight="false" outlineLevel="0" collapsed="false">
      <c r="A9" s="9" t="s">
        <v>71</v>
      </c>
      <c r="B9" s="9" t="s">
        <v>42</v>
      </c>
      <c r="C9" s="10"/>
      <c r="D9" s="10"/>
      <c r="E9" s="10"/>
      <c r="F9" s="9" t="s">
        <v>46</v>
      </c>
      <c r="G9" s="9" t="s">
        <v>47</v>
      </c>
      <c r="H9" s="9" t="s">
        <v>72</v>
      </c>
      <c r="I9" s="9" t="s">
        <v>73</v>
      </c>
      <c r="J9" s="10"/>
      <c r="K9" s="9" t="s">
        <v>74</v>
      </c>
      <c r="L9" s="9" t="s">
        <v>73</v>
      </c>
      <c r="M9" s="9" t="s">
        <v>53</v>
      </c>
      <c r="N9" s="10"/>
    </row>
    <row r="10" customFormat="false" ht="15" hidden="false" customHeight="false" outlineLevel="0" collapsed="false">
      <c r="A10" s="9" t="s">
        <v>75</v>
      </c>
      <c r="B10" s="9" t="s">
        <v>76</v>
      </c>
      <c r="C10" s="10"/>
      <c r="D10" s="9" t="s">
        <v>77</v>
      </c>
      <c r="E10" s="10"/>
      <c r="F10" s="9" t="s">
        <v>46</v>
      </c>
      <c r="G10" s="9" t="s">
        <v>47</v>
      </c>
      <c r="H10" s="9" t="s">
        <v>58</v>
      </c>
      <c r="I10" s="9" t="s">
        <v>78</v>
      </c>
      <c r="J10" s="10"/>
      <c r="K10" s="9" t="s">
        <v>65</v>
      </c>
      <c r="L10" s="9" t="s">
        <v>79</v>
      </c>
      <c r="M10" s="9" t="s">
        <v>53</v>
      </c>
      <c r="N10" s="10"/>
    </row>
    <row r="11" customFormat="false" ht="15" hidden="false" customHeight="false" outlineLevel="0" collapsed="false">
      <c r="A11" s="9" t="s">
        <v>80</v>
      </c>
      <c r="B11" s="9" t="s">
        <v>81</v>
      </c>
      <c r="C11" s="10"/>
      <c r="D11" s="9" t="s">
        <v>82</v>
      </c>
      <c r="E11" s="9" t="s">
        <v>83</v>
      </c>
      <c r="F11" s="9" t="s">
        <v>46</v>
      </c>
      <c r="G11" s="9" t="s">
        <v>47</v>
      </c>
      <c r="H11" s="9" t="s">
        <v>58</v>
      </c>
      <c r="I11" s="9" t="s">
        <v>84</v>
      </c>
      <c r="J11" s="10"/>
      <c r="K11" s="9" t="s">
        <v>65</v>
      </c>
      <c r="L11" s="9" t="s">
        <v>85</v>
      </c>
      <c r="M11" s="9" t="s">
        <v>53</v>
      </c>
      <c r="N11" s="10"/>
    </row>
    <row r="12" customFormat="false" ht="15" hidden="false" customHeight="false" outlineLevel="0" collapsed="false">
      <c r="A12" s="9" t="s">
        <v>86</v>
      </c>
      <c r="B12" s="9" t="s">
        <v>87</v>
      </c>
      <c r="C12" s="10"/>
      <c r="D12" s="9" t="s">
        <v>88</v>
      </c>
      <c r="E12" s="10"/>
      <c r="F12" s="9" t="s">
        <v>46</v>
      </c>
      <c r="G12" s="9" t="s">
        <v>47</v>
      </c>
      <c r="H12" s="9" t="s">
        <v>58</v>
      </c>
      <c r="I12" s="9" t="s">
        <v>89</v>
      </c>
      <c r="J12" s="10"/>
      <c r="K12" s="9" t="s">
        <v>90</v>
      </c>
      <c r="L12" s="10" t="s">
        <v>91</v>
      </c>
      <c r="M12" s="9" t="s">
        <v>53</v>
      </c>
      <c r="N12" s="9" t="s">
        <v>92</v>
      </c>
    </row>
    <row r="13" customFormat="false" ht="23.85" hidden="false" customHeight="false" outlineLevel="0" collapsed="false">
      <c r="A13" s="9" t="s">
        <v>93</v>
      </c>
      <c r="B13" s="9" t="s">
        <v>94</v>
      </c>
      <c r="C13" s="10"/>
      <c r="D13" s="9" t="s">
        <v>95</v>
      </c>
      <c r="E13" s="10"/>
      <c r="F13" s="9" t="s">
        <v>46</v>
      </c>
      <c r="G13" s="9" t="s">
        <v>47</v>
      </c>
      <c r="H13" s="9" t="s">
        <v>58</v>
      </c>
      <c r="I13" s="10" t="s">
        <v>96</v>
      </c>
      <c r="J13" s="10"/>
      <c r="K13" s="10"/>
      <c r="L13" s="10" t="s">
        <v>97</v>
      </c>
      <c r="M13" s="9" t="s">
        <v>53</v>
      </c>
      <c r="N13" s="9" t="s">
        <v>98</v>
      </c>
    </row>
    <row r="14" customFormat="false" ht="23.85" hidden="false" customHeight="false" outlineLevel="0" collapsed="false">
      <c r="A14" s="9" t="s">
        <v>99</v>
      </c>
      <c r="B14" s="9" t="s">
        <v>100</v>
      </c>
      <c r="C14" s="10"/>
      <c r="D14" s="9" t="s">
        <v>101</v>
      </c>
      <c r="E14" s="9" t="s">
        <v>102</v>
      </c>
      <c r="F14" s="9" t="s">
        <v>46</v>
      </c>
      <c r="G14" s="9" t="s">
        <v>47</v>
      </c>
      <c r="H14" s="9" t="s">
        <v>48</v>
      </c>
      <c r="I14" s="9" t="s">
        <v>103</v>
      </c>
      <c r="J14" s="10"/>
      <c r="K14" s="10"/>
      <c r="L14" s="9" t="s">
        <v>104</v>
      </c>
      <c r="M14" s="9" t="s">
        <v>53</v>
      </c>
      <c r="N14" s="9" t="s">
        <v>105</v>
      </c>
    </row>
    <row r="15" customFormat="false" ht="15" hidden="false" customHeight="false" outlineLevel="0" collapsed="false">
      <c r="A15" s="9" t="s">
        <v>106</v>
      </c>
      <c r="B15" s="9" t="s">
        <v>107</v>
      </c>
      <c r="C15" s="10"/>
      <c r="D15" s="9" t="s">
        <v>108</v>
      </c>
      <c r="E15" s="9" t="s">
        <v>109</v>
      </c>
      <c r="F15" s="9" t="s">
        <v>46</v>
      </c>
      <c r="G15" s="9" t="s">
        <v>47</v>
      </c>
      <c r="H15" s="9" t="s">
        <v>48</v>
      </c>
      <c r="I15" s="9" t="s">
        <v>110</v>
      </c>
      <c r="J15" s="10"/>
      <c r="K15" s="10"/>
      <c r="L15" s="9" t="s">
        <v>111</v>
      </c>
      <c r="M15" s="9" t="s">
        <v>53</v>
      </c>
      <c r="N15" s="9" t="s">
        <v>112</v>
      </c>
    </row>
    <row r="16" customFormat="false" ht="15" hidden="false" customHeight="false" outlineLevel="0" collapsed="false">
      <c r="A16" s="9" t="s">
        <v>113</v>
      </c>
      <c r="B16" s="9" t="s">
        <v>114</v>
      </c>
      <c r="C16" s="10"/>
      <c r="D16" s="9" t="s">
        <v>115</v>
      </c>
      <c r="E16" s="10"/>
      <c r="F16" s="9" t="s">
        <v>46</v>
      </c>
      <c r="G16" s="9" t="s">
        <v>47</v>
      </c>
      <c r="H16" s="9" t="s">
        <v>48</v>
      </c>
      <c r="I16" s="10" t="s">
        <v>96</v>
      </c>
      <c r="J16" s="10"/>
      <c r="K16" s="10"/>
      <c r="L16" s="9" t="s">
        <v>116</v>
      </c>
      <c r="M16" s="9" t="s">
        <v>53</v>
      </c>
      <c r="N16" s="9" t="s">
        <v>117</v>
      </c>
    </row>
    <row r="17" customFormat="false" ht="15" hidden="false" customHeight="false" outlineLevel="0" collapsed="false">
      <c r="A17" s="9" t="s">
        <v>118</v>
      </c>
      <c r="B17" s="9" t="s">
        <v>119</v>
      </c>
      <c r="C17" s="10"/>
      <c r="D17" s="9" t="s">
        <v>120</v>
      </c>
      <c r="E17" s="9" t="s">
        <v>121</v>
      </c>
      <c r="F17" s="9" t="s">
        <v>46</v>
      </c>
      <c r="G17" s="9" t="s">
        <v>47</v>
      </c>
      <c r="H17" s="9" t="s">
        <v>122</v>
      </c>
      <c r="I17" s="9" t="s">
        <v>123</v>
      </c>
      <c r="J17" s="10"/>
      <c r="K17" s="10"/>
      <c r="L17" s="9" t="s">
        <v>116</v>
      </c>
      <c r="M17" s="9" t="s">
        <v>53</v>
      </c>
      <c r="N17" s="10"/>
    </row>
    <row r="18" customFormat="false" ht="15" hidden="false" customHeight="false" outlineLevel="0" collapsed="false">
      <c r="A18" s="9" t="s">
        <v>118</v>
      </c>
      <c r="B18" s="9" t="s">
        <v>124</v>
      </c>
      <c r="C18" s="10"/>
      <c r="D18" s="9" t="s">
        <v>125</v>
      </c>
      <c r="E18" s="10"/>
      <c r="F18" s="9" t="s">
        <v>46</v>
      </c>
      <c r="G18" s="9" t="s">
        <v>47</v>
      </c>
      <c r="H18" s="10" t="s">
        <v>96</v>
      </c>
      <c r="I18" s="10" t="s">
        <v>96</v>
      </c>
      <c r="J18" s="10"/>
      <c r="K18" s="10"/>
      <c r="L18" s="9" t="s">
        <v>52</v>
      </c>
      <c r="M18" s="9" t="s">
        <v>53</v>
      </c>
      <c r="N18" s="10"/>
    </row>
    <row r="19" customFormat="false" ht="23.85" hidden="false" customHeight="false" outlineLevel="0" collapsed="false">
      <c r="A19" s="9" t="s">
        <v>126</v>
      </c>
      <c r="B19" s="9" t="s">
        <v>127</v>
      </c>
      <c r="C19" s="10"/>
      <c r="D19" s="10"/>
      <c r="E19" s="10"/>
      <c r="F19" s="9" t="s">
        <v>46</v>
      </c>
      <c r="G19" s="9" t="s">
        <v>47</v>
      </c>
      <c r="H19" s="9" t="s">
        <v>128</v>
      </c>
      <c r="I19" s="10" t="s">
        <v>96</v>
      </c>
      <c r="J19" s="10"/>
      <c r="K19" s="10"/>
      <c r="L19" s="9" t="s">
        <v>129</v>
      </c>
      <c r="M19" s="9" t="s">
        <v>53</v>
      </c>
      <c r="N19" s="9" t="s">
        <v>130</v>
      </c>
    </row>
    <row r="20" customFormat="false" ht="15" hidden="false" customHeight="false" outlineLevel="0" collapsed="false">
      <c r="A20" s="9" t="s">
        <v>80</v>
      </c>
      <c r="B20" s="9" t="s">
        <v>131</v>
      </c>
      <c r="C20" s="10"/>
      <c r="D20" s="9" t="s">
        <v>132</v>
      </c>
      <c r="E20" s="9" t="s">
        <v>133</v>
      </c>
      <c r="F20" s="9" t="s">
        <v>46</v>
      </c>
      <c r="G20" s="9" t="s">
        <v>47</v>
      </c>
      <c r="H20" s="10" t="s">
        <v>96</v>
      </c>
      <c r="I20" s="9" t="s">
        <v>134</v>
      </c>
      <c r="J20" s="10"/>
      <c r="K20" s="10"/>
      <c r="L20" s="10" t="s">
        <v>135</v>
      </c>
      <c r="M20" s="9" t="s">
        <v>53</v>
      </c>
      <c r="N20" s="10"/>
    </row>
    <row r="21" customFormat="false" ht="23.85" hidden="false" customHeight="false" outlineLevel="0" collapsed="false">
      <c r="A21" s="9" t="s">
        <v>136</v>
      </c>
      <c r="B21" s="9" t="s">
        <v>137</v>
      </c>
      <c r="C21" s="10"/>
      <c r="D21" s="10"/>
      <c r="E21" s="10"/>
      <c r="F21" s="9" t="s">
        <v>46</v>
      </c>
      <c r="G21" s="9" t="s">
        <v>47</v>
      </c>
      <c r="H21" s="9" t="s">
        <v>58</v>
      </c>
      <c r="I21" s="10" t="s">
        <v>96</v>
      </c>
      <c r="J21" s="10"/>
      <c r="K21" s="10"/>
      <c r="L21" s="10" t="s">
        <v>96</v>
      </c>
      <c r="M21" s="9" t="s">
        <v>53</v>
      </c>
      <c r="N21" s="9" t="s">
        <v>138</v>
      </c>
    </row>
    <row r="22" customFormat="false" ht="15" hidden="false" customHeight="false" outlineLevel="0" collapsed="false">
      <c r="A22" s="9" t="s">
        <v>55</v>
      </c>
      <c r="B22" s="9" t="s">
        <v>139</v>
      </c>
      <c r="C22" s="10"/>
      <c r="D22" s="9" t="s">
        <v>140</v>
      </c>
      <c r="E22" s="10"/>
      <c r="F22" s="9" t="s">
        <v>46</v>
      </c>
      <c r="G22" s="9" t="s">
        <v>47</v>
      </c>
      <c r="H22" s="9" t="s">
        <v>141</v>
      </c>
      <c r="I22" s="9" t="s">
        <v>142</v>
      </c>
      <c r="J22" s="10"/>
      <c r="K22" s="10"/>
      <c r="L22" s="9" t="s">
        <v>143</v>
      </c>
      <c r="M22" s="9" t="s">
        <v>53</v>
      </c>
      <c r="N22" s="10"/>
    </row>
    <row r="23" customFormat="false" ht="15" hidden="false" customHeight="false" outlineLevel="0" collapsed="false">
      <c r="A23" s="9" t="s">
        <v>67</v>
      </c>
      <c r="B23" s="9" t="s">
        <v>144</v>
      </c>
      <c r="C23" s="9" t="s">
        <v>145</v>
      </c>
      <c r="D23" s="10"/>
      <c r="E23" s="10"/>
      <c r="F23" s="9" t="s">
        <v>46</v>
      </c>
      <c r="G23" s="9" t="s">
        <v>47</v>
      </c>
      <c r="H23" s="9" t="s">
        <v>48</v>
      </c>
      <c r="I23" s="9" t="s">
        <v>49</v>
      </c>
      <c r="J23" s="10"/>
      <c r="K23" s="10"/>
      <c r="L23" s="9" t="s">
        <v>146</v>
      </c>
      <c r="M23" s="9" t="s">
        <v>53</v>
      </c>
      <c r="N23" s="10"/>
    </row>
    <row r="24" customFormat="false" ht="15" hidden="false" customHeight="false" outlineLevel="0" collapsed="false">
      <c r="A24" s="9" t="s">
        <v>118</v>
      </c>
      <c r="B24" s="9" t="s">
        <v>147</v>
      </c>
      <c r="C24" s="10"/>
      <c r="D24" s="9" t="s">
        <v>148</v>
      </c>
      <c r="E24" s="10"/>
      <c r="F24" s="9" t="s">
        <v>46</v>
      </c>
      <c r="G24" s="9" t="s">
        <v>47</v>
      </c>
      <c r="H24" s="9" t="s">
        <v>48</v>
      </c>
      <c r="I24" s="9" t="s">
        <v>49</v>
      </c>
      <c r="J24" s="10"/>
      <c r="K24" s="10"/>
      <c r="L24" s="9" t="s">
        <v>146</v>
      </c>
      <c r="M24" s="9" t="s">
        <v>53</v>
      </c>
      <c r="N24" s="10"/>
    </row>
    <row r="25" customFormat="false" ht="15" hidden="false" customHeight="false" outlineLevel="0" collapsed="false">
      <c r="A25" s="9" t="s">
        <v>118</v>
      </c>
      <c r="B25" s="9" t="s">
        <v>149</v>
      </c>
      <c r="C25" s="10"/>
      <c r="D25" s="9" t="s">
        <v>150</v>
      </c>
      <c r="E25" s="10"/>
      <c r="F25" s="9" t="s">
        <v>46</v>
      </c>
      <c r="G25" s="9" t="s">
        <v>47</v>
      </c>
      <c r="H25" s="9" t="s">
        <v>48</v>
      </c>
      <c r="I25" s="9" t="s">
        <v>49</v>
      </c>
      <c r="J25" s="10"/>
      <c r="K25" s="10"/>
      <c r="L25" s="9" t="s">
        <v>146</v>
      </c>
      <c r="M25" s="9" t="s">
        <v>53</v>
      </c>
      <c r="N25" s="10"/>
    </row>
    <row r="26" customFormat="false" ht="15" hidden="false" customHeight="false" outlineLevel="0" collapsed="false">
      <c r="A26" s="9" t="s">
        <v>151</v>
      </c>
      <c r="B26" s="9" t="s">
        <v>152</v>
      </c>
      <c r="C26" s="10"/>
      <c r="D26" s="10"/>
      <c r="E26" s="10"/>
      <c r="F26" s="9" t="s">
        <v>46</v>
      </c>
      <c r="G26" s="9" t="s">
        <v>47</v>
      </c>
      <c r="H26" s="9" t="s">
        <v>48</v>
      </c>
      <c r="I26" s="9" t="s">
        <v>49</v>
      </c>
      <c r="J26" s="10"/>
      <c r="K26" s="10"/>
      <c r="L26" s="9" t="s">
        <v>146</v>
      </c>
      <c r="M26" s="9" t="s">
        <v>53</v>
      </c>
      <c r="N26" s="10"/>
    </row>
    <row r="27" customFormat="false" ht="15" hidden="false" customHeight="false" outlineLevel="0" collapsed="false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</row>
    <row r="28" customFormat="false" ht="15" hidden="false" customHeight="false" outlineLevel="0" collapsed="false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</row>
    <row r="29" customFormat="false" ht="15" hidden="false" customHeight="false" outlineLevel="0" collapsed="false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</row>
    <row r="30" customFormat="false" ht="15" hidden="false" customHeight="false" outlineLevel="0" collapsed="false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</row>
    <row r="31" customFormat="false" ht="15" hidden="false" customHeight="false" outlineLevel="0" collapsed="false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</row>
    <row r="32" customFormat="false" ht="15" hidden="false" customHeight="false" outlineLevel="0" collapsed="false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</row>
    <row r="33" customFormat="false" ht="15" hidden="false" customHeight="false" outlineLevel="0" collapsed="false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</row>
    <row r="34" customFormat="false" ht="15" hidden="false" customHeight="false" outlineLevel="0" collapsed="false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</row>
    <row r="35" customFormat="false" ht="15" hidden="false" customHeight="false" outlineLevel="0" collapsed="false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</row>
    <row r="36" customFormat="false" ht="15" hidden="false" customHeight="false" outlineLevel="0" collapsed="false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</row>
    <row r="37" customFormat="false" ht="15" hidden="false" customHeight="false" outlineLevel="0" collapsed="false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</row>
    <row r="38" customFormat="false" ht="15" hidden="false" customHeight="false" outlineLevel="0" collapsed="false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</row>
    <row r="39" customFormat="false" ht="15" hidden="false" customHeight="false" outlineLevel="0" collapsed="false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</row>
    <row r="40" customFormat="false" ht="15" hidden="false" customHeight="false" outlineLevel="0" collapsed="false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</row>
    <row r="41" customFormat="false" ht="15" hidden="false" customHeight="false" outlineLevel="0" collapsed="false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</row>
    <row r="42" customFormat="false" ht="15" hidden="false" customHeight="false" outlineLevel="0" collapsed="false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</row>
    <row r="43" customFormat="false" ht="15" hidden="false" customHeight="false" outlineLevel="0" collapsed="false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</row>
    <row r="44" customFormat="false" ht="15" hidden="false" customHeight="false" outlineLevel="0" collapsed="false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</row>
    <row r="45" customFormat="false" ht="15" hidden="false" customHeight="false" outlineLevel="0" collapsed="false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</row>
    <row r="46" customFormat="false" ht="15" hidden="false" customHeight="false" outlineLevel="0" collapsed="false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</row>
    <row r="47" customFormat="false" ht="15" hidden="false" customHeight="false" outlineLevel="0" collapsed="false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</row>
    <row r="48" customFormat="false" ht="15" hidden="false" customHeight="false" outlineLevel="0" collapsed="false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</row>
    <row r="49" customFormat="false" ht="15" hidden="false" customHeight="false" outlineLevel="0" collapsed="false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</row>
    <row r="50" customFormat="false" ht="15" hidden="false" customHeight="false" outlineLevel="0" collapsed="false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</row>
    <row r="51" customFormat="false" ht="15" hidden="false" customHeight="false" outlineLevel="0" collapsed="false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</row>
    <row r="52" customFormat="false" ht="15" hidden="false" customHeight="false" outlineLevel="0" collapsed="false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</row>
    <row r="53" customFormat="false" ht="15" hidden="false" customHeight="false" outlineLevel="0" collapsed="false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</row>
    <row r="54" customFormat="false" ht="15" hidden="false" customHeight="false" outlineLevel="0" collapsed="false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</row>
    <row r="55" customFormat="false" ht="15" hidden="false" customHeight="false" outlineLevel="0" collapsed="false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</row>
    <row r="56" customFormat="false" ht="15" hidden="false" customHeight="false" outlineLevel="0" collapsed="false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</row>
  </sheetData>
  <autoFilter ref="A4:N56"/>
  <dataValidations count="4">
    <dataValidation allowBlank="true" errorStyle="stop" operator="between" showDropDown="false" showErrorMessage="true" showInputMessage="false" sqref="J5:J56" type="list">
      <formula1>"Cadre,Non-cadre"</formula1>
      <formula2>0</formula2>
    </dataValidation>
    <dataValidation allowBlank="true" errorStyle="stop" operator="between" showDropDown="false" showErrorMessage="true" showInputMessage="false" sqref="M5:M56" type="list">
      <formula1>"O,N"</formula1>
      <formula2>0</formula2>
    </dataValidation>
    <dataValidation allowBlank="true" errorStyle="stop" operator="between" showDropDown="false" showErrorMessage="true" showInputMessage="false" sqref="F5:F56" type="list">
      <formula1>"Neemba Guinée,Neemba Mining,Neemba Finance Guinée"</formula1>
      <formula2>0</formula2>
    </dataValidation>
    <dataValidation allowBlank="true" errorStyle="stop" operator="between" showDropDown="false" showErrorMessage="true" showInputMessage="false" sqref="G5:G56" type="list">
      <formula1>"Conakry,Sangarédi,Boké,Siguiri (Location),Mandiana (Siguiri Technique),CORICA,Simandou / SIMFER"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2"/>
    <col collapsed="false" customWidth="true" hidden="false" outlineLevel="0" max="3" min="3" style="0" width="16"/>
    <col collapsed="false" customWidth="true" hidden="false" outlineLevel="0" max="5" min="4" style="0" width="30"/>
    <col collapsed="false" customWidth="true" hidden="false" outlineLevel="0" max="6" min="6" style="0" width="34"/>
    <col collapsed="false" customWidth="true" hidden="false" outlineLevel="0" max="7" min="7" style="0" width="14"/>
    <col collapsed="false" customWidth="true" hidden="false" outlineLevel="0" max="8" min="8" style="0" width="46"/>
    <col collapsed="false" customWidth="true" hidden="false" outlineLevel="0" max="9" min="9" style="0" width="10"/>
    <col collapsed="false" customWidth="true" hidden="false" outlineLevel="0" max="10" min="10" style="0" width="12"/>
    <col collapsed="false" customWidth="true" hidden="false" outlineLevel="0" max="11" min="11" style="0" width="50"/>
  </cols>
  <sheetData>
    <row r="1" customFormat="false" ht="16.15" hidden="false" customHeight="false" outlineLevel="0" collapsed="false">
      <c r="A1" s="1" t="s">
        <v>153</v>
      </c>
    </row>
    <row r="2" customFormat="false" ht="15" hidden="false" customHeight="false" outlineLevel="0" collapsed="false">
      <c r="A2" s="6" t="s">
        <v>154</v>
      </c>
    </row>
    <row r="4" customFormat="false" ht="57.45" hidden="false" customHeight="false" outlineLevel="0" collapsed="false">
      <c r="A4" s="7" t="s">
        <v>155</v>
      </c>
      <c r="B4" s="7" t="s">
        <v>156</v>
      </c>
      <c r="C4" s="7" t="s">
        <v>157</v>
      </c>
      <c r="D4" s="7" t="s">
        <v>158</v>
      </c>
      <c r="E4" s="7" t="s">
        <v>159</v>
      </c>
      <c r="F4" s="7" t="s">
        <v>160</v>
      </c>
      <c r="G4" s="7" t="s">
        <v>161</v>
      </c>
      <c r="H4" s="7" t="s">
        <v>162</v>
      </c>
      <c r="I4" s="7" t="s">
        <v>39</v>
      </c>
      <c r="J4" s="7" t="s">
        <v>163</v>
      </c>
      <c r="K4" s="7" t="s">
        <v>164</v>
      </c>
    </row>
    <row r="5" customFormat="false" ht="23.85" hidden="false" customHeight="false" outlineLevel="0" collapsed="false">
      <c r="A5" s="9" t="s">
        <v>165</v>
      </c>
      <c r="B5" s="9" t="s">
        <v>166</v>
      </c>
      <c r="C5" s="9" t="s">
        <v>167</v>
      </c>
      <c r="D5" s="10"/>
      <c r="E5" s="9" t="s">
        <v>168</v>
      </c>
      <c r="F5" s="9" t="s">
        <v>169</v>
      </c>
      <c r="G5" s="9" t="n">
        <v>548</v>
      </c>
      <c r="H5" s="9" t="s">
        <v>170</v>
      </c>
      <c r="I5" s="10"/>
      <c r="J5" s="10"/>
      <c r="K5" s="10" t="s">
        <v>171</v>
      </c>
    </row>
    <row r="6" customFormat="false" ht="23.85" hidden="false" customHeight="false" outlineLevel="0" collapsed="false">
      <c r="A6" s="9" t="s">
        <v>172</v>
      </c>
      <c r="B6" s="9" t="s">
        <v>166</v>
      </c>
      <c r="C6" s="9" t="s">
        <v>167</v>
      </c>
      <c r="D6" s="10"/>
      <c r="E6" s="9" t="s">
        <v>173</v>
      </c>
      <c r="F6" s="9" t="s">
        <v>174</v>
      </c>
      <c r="G6" s="9" t="n">
        <v>435</v>
      </c>
      <c r="H6" s="9" t="s">
        <v>175</v>
      </c>
      <c r="I6" s="10"/>
      <c r="J6" s="10"/>
      <c r="K6" s="10" t="s">
        <v>176</v>
      </c>
    </row>
    <row r="7" customFormat="false" ht="23.85" hidden="false" customHeight="false" outlineLevel="0" collapsed="false">
      <c r="A7" s="9" t="s">
        <v>177</v>
      </c>
      <c r="B7" s="9" t="s">
        <v>166</v>
      </c>
      <c r="C7" s="9" t="s">
        <v>178</v>
      </c>
      <c r="D7" s="10"/>
      <c r="E7" s="9" t="s">
        <v>179</v>
      </c>
      <c r="F7" s="9" t="s">
        <v>180</v>
      </c>
      <c r="G7" s="9" t="n">
        <v>157</v>
      </c>
      <c r="H7" s="9" t="s">
        <v>181</v>
      </c>
      <c r="I7" s="10"/>
      <c r="J7" s="10"/>
      <c r="K7" s="10" t="s">
        <v>176</v>
      </c>
    </row>
    <row r="8" customFormat="false" ht="23.85" hidden="false" customHeight="false" outlineLevel="0" collapsed="false">
      <c r="A8" s="9" t="s">
        <v>182</v>
      </c>
      <c r="B8" s="9" t="s">
        <v>166</v>
      </c>
      <c r="C8" s="9" t="s">
        <v>183</v>
      </c>
      <c r="D8" s="10"/>
      <c r="E8" s="9" t="s">
        <v>184</v>
      </c>
      <c r="F8" s="9" t="s">
        <v>185</v>
      </c>
      <c r="G8" s="9" t="n">
        <v>154</v>
      </c>
      <c r="H8" s="9" t="s">
        <v>186</v>
      </c>
      <c r="I8" s="10"/>
      <c r="J8" s="10"/>
      <c r="K8" s="10" t="s">
        <v>176</v>
      </c>
    </row>
    <row r="9" customFormat="false" ht="23.85" hidden="false" customHeight="false" outlineLevel="0" collapsed="false">
      <c r="A9" s="9" t="s">
        <v>187</v>
      </c>
      <c r="B9" s="9" t="s">
        <v>166</v>
      </c>
      <c r="C9" s="9" t="s">
        <v>178</v>
      </c>
      <c r="D9" s="10"/>
      <c r="E9" s="9" t="s">
        <v>188</v>
      </c>
      <c r="F9" s="9" t="s">
        <v>189</v>
      </c>
      <c r="G9" s="9" t="n">
        <v>137</v>
      </c>
      <c r="H9" s="9" t="s">
        <v>190</v>
      </c>
      <c r="I9" s="10"/>
      <c r="J9" s="10"/>
      <c r="K9" s="10" t="s">
        <v>176</v>
      </c>
    </row>
    <row r="10" customFormat="false" ht="23.85" hidden="false" customHeight="false" outlineLevel="0" collapsed="false">
      <c r="A10" s="9" t="s">
        <v>191</v>
      </c>
      <c r="B10" s="9" t="s">
        <v>166</v>
      </c>
      <c r="C10" s="9" t="s">
        <v>178</v>
      </c>
      <c r="D10" s="10"/>
      <c r="E10" s="9" t="s">
        <v>192</v>
      </c>
      <c r="F10" s="9" t="s">
        <v>193</v>
      </c>
      <c r="G10" s="9" t="n">
        <v>106</v>
      </c>
      <c r="H10" s="9" t="s">
        <v>194</v>
      </c>
      <c r="I10" s="10"/>
      <c r="J10" s="10"/>
      <c r="K10" s="11"/>
    </row>
    <row r="11" customFormat="false" ht="23.85" hidden="false" customHeight="false" outlineLevel="0" collapsed="false">
      <c r="A11" s="9" t="s">
        <v>195</v>
      </c>
      <c r="B11" s="9" t="s">
        <v>166</v>
      </c>
      <c r="C11" s="9" t="s">
        <v>183</v>
      </c>
      <c r="D11" s="10"/>
      <c r="E11" s="9" t="s">
        <v>196</v>
      </c>
      <c r="F11" s="9" t="s">
        <v>197</v>
      </c>
      <c r="G11" s="9" t="n">
        <v>81</v>
      </c>
      <c r="H11" s="9" t="s">
        <v>198</v>
      </c>
      <c r="I11" s="10"/>
      <c r="J11" s="10"/>
      <c r="K11" s="10" t="s">
        <v>199</v>
      </c>
    </row>
    <row r="12" customFormat="false" ht="23.85" hidden="false" customHeight="false" outlineLevel="0" collapsed="false">
      <c r="A12" s="9" t="s">
        <v>200</v>
      </c>
      <c r="B12" s="9" t="s">
        <v>166</v>
      </c>
      <c r="C12" s="9" t="s">
        <v>201</v>
      </c>
      <c r="D12" s="10"/>
      <c r="E12" s="9" t="s">
        <v>202</v>
      </c>
      <c r="F12" s="9" t="s">
        <v>203</v>
      </c>
      <c r="G12" s="9" t="n">
        <v>55</v>
      </c>
      <c r="H12" s="9" t="s">
        <v>204</v>
      </c>
      <c r="I12" s="10"/>
      <c r="J12" s="10"/>
      <c r="K12" s="10" t="s">
        <v>176</v>
      </c>
    </row>
    <row r="13" customFormat="false" ht="23.85" hidden="false" customHeight="false" outlineLevel="0" collapsed="false">
      <c r="A13" s="9" t="s">
        <v>205</v>
      </c>
      <c r="B13" s="9" t="s">
        <v>166</v>
      </c>
      <c r="C13" s="9" t="s">
        <v>167</v>
      </c>
      <c r="D13" s="10"/>
      <c r="E13" s="9" t="s">
        <v>206</v>
      </c>
      <c r="F13" s="9" t="s">
        <v>207</v>
      </c>
      <c r="G13" s="9" t="n">
        <v>30</v>
      </c>
      <c r="H13" s="9" t="s">
        <v>208</v>
      </c>
      <c r="I13" s="10"/>
      <c r="J13" s="10"/>
      <c r="K13" s="11"/>
    </row>
    <row r="14" customFormat="false" ht="23.85" hidden="false" customHeight="false" outlineLevel="0" collapsed="false">
      <c r="A14" s="9" t="s">
        <v>209</v>
      </c>
      <c r="B14" s="9" t="s">
        <v>166</v>
      </c>
      <c r="C14" s="9" t="s">
        <v>178</v>
      </c>
      <c r="D14" s="10"/>
      <c r="E14" s="9" t="s">
        <v>210</v>
      </c>
      <c r="F14" s="9" t="s">
        <v>211</v>
      </c>
      <c r="G14" s="9" t="n">
        <v>25</v>
      </c>
      <c r="H14" s="9" t="s">
        <v>212</v>
      </c>
      <c r="I14" s="10"/>
      <c r="J14" s="10"/>
      <c r="K14" s="10" t="s">
        <v>176</v>
      </c>
    </row>
    <row r="15" customFormat="false" ht="23.85" hidden="false" customHeight="false" outlineLevel="0" collapsed="false">
      <c r="A15" s="9" t="s">
        <v>213</v>
      </c>
      <c r="B15" s="9" t="s">
        <v>166</v>
      </c>
      <c r="C15" s="9" t="s">
        <v>178</v>
      </c>
      <c r="D15" s="10"/>
      <c r="E15" s="9" t="s">
        <v>214</v>
      </c>
      <c r="F15" s="9" t="s">
        <v>211</v>
      </c>
      <c r="G15" s="9" t="n">
        <v>17</v>
      </c>
      <c r="H15" s="9" t="s">
        <v>215</v>
      </c>
      <c r="I15" s="10"/>
      <c r="J15" s="10"/>
      <c r="K15" s="11"/>
    </row>
    <row r="16" customFormat="false" ht="23.85" hidden="false" customHeight="false" outlineLevel="0" collapsed="false">
      <c r="A16" s="9" t="s">
        <v>216</v>
      </c>
      <c r="B16" s="9" t="s">
        <v>166</v>
      </c>
      <c r="C16" s="9" t="s">
        <v>167</v>
      </c>
      <c r="D16" s="10"/>
      <c r="E16" s="9" t="s">
        <v>217</v>
      </c>
      <c r="F16" s="9" t="s">
        <v>218</v>
      </c>
      <c r="G16" s="9" t="n">
        <v>13</v>
      </c>
      <c r="H16" s="9" t="s">
        <v>219</v>
      </c>
      <c r="I16" s="10"/>
      <c r="J16" s="10"/>
      <c r="K16" s="10" t="s">
        <v>220</v>
      </c>
    </row>
    <row r="17" customFormat="false" ht="23.85" hidden="false" customHeight="false" outlineLevel="0" collapsed="false">
      <c r="A17" s="9" t="s">
        <v>221</v>
      </c>
      <c r="B17" s="9" t="s">
        <v>166</v>
      </c>
      <c r="C17" s="9" t="s">
        <v>222</v>
      </c>
      <c r="D17" s="10"/>
      <c r="E17" s="9" t="s">
        <v>223</v>
      </c>
      <c r="F17" s="9" t="s">
        <v>224</v>
      </c>
      <c r="G17" s="9" t="n">
        <v>11</v>
      </c>
      <c r="H17" s="9" t="s">
        <v>225</v>
      </c>
      <c r="I17" s="10"/>
      <c r="J17" s="10"/>
      <c r="K17" s="11"/>
    </row>
    <row r="18" customFormat="false" ht="23.85" hidden="false" customHeight="false" outlineLevel="0" collapsed="false">
      <c r="A18" s="9" t="s">
        <v>226</v>
      </c>
      <c r="B18" s="9" t="s">
        <v>166</v>
      </c>
      <c r="C18" s="9" t="s">
        <v>201</v>
      </c>
      <c r="D18" s="10"/>
      <c r="E18" s="9" t="s">
        <v>227</v>
      </c>
      <c r="F18" s="9" t="s">
        <v>47</v>
      </c>
      <c r="G18" s="9" t="n">
        <v>8</v>
      </c>
      <c r="H18" s="9" t="s">
        <v>228</v>
      </c>
      <c r="I18" s="10"/>
      <c r="J18" s="10"/>
      <c r="K18" s="11"/>
    </row>
    <row r="19" customFormat="false" ht="23.85" hidden="false" customHeight="false" outlineLevel="0" collapsed="false">
      <c r="A19" s="9" t="s">
        <v>229</v>
      </c>
      <c r="B19" s="9" t="s">
        <v>166</v>
      </c>
      <c r="C19" s="9" t="s">
        <v>201</v>
      </c>
      <c r="D19" s="10"/>
      <c r="E19" s="9" t="s">
        <v>230</v>
      </c>
      <c r="F19" s="9" t="s">
        <v>47</v>
      </c>
      <c r="G19" s="9" t="n">
        <v>7</v>
      </c>
      <c r="H19" s="9" t="s">
        <v>231</v>
      </c>
      <c r="I19" s="10"/>
      <c r="J19" s="10"/>
      <c r="K19" s="10" t="s">
        <v>232</v>
      </c>
    </row>
    <row r="20" customFormat="false" ht="15" hidden="false" customHeight="false" outlineLevel="0" collapsed="false">
      <c r="A20" s="9" t="s">
        <v>233</v>
      </c>
      <c r="B20" s="9" t="s">
        <v>166</v>
      </c>
      <c r="C20" s="9" t="s">
        <v>178</v>
      </c>
      <c r="D20" s="10"/>
      <c r="E20" s="9" t="s">
        <v>234</v>
      </c>
      <c r="F20" s="9" t="s">
        <v>47</v>
      </c>
      <c r="G20" s="9" t="n">
        <v>6</v>
      </c>
      <c r="H20" s="9" t="s">
        <v>235</v>
      </c>
      <c r="I20" s="10"/>
      <c r="J20" s="10"/>
      <c r="K20" s="11"/>
    </row>
    <row r="21" customFormat="false" ht="23.85" hidden="false" customHeight="false" outlineLevel="0" collapsed="false">
      <c r="A21" s="9" t="s">
        <v>236</v>
      </c>
      <c r="B21" s="9" t="s">
        <v>166</v>
      </c>
      <c r="C21" s="9" t="s">
        <v>183</v>
      </c>
      <c r="D21" s="10"/>
      <c r="E21" s="9" t="s">
        <v>237</v>
      </c>
      <c r="F21" s="9" t="s">
        <v>238</v>
      </c>
      <c r="G21" s="9" t="n">
        <v>4</v>
      </c>
      <c r="H21" s="9" t="s">
        <v>239</v>
      </c>
      <c r="I21" s="10"/>
      <c r="J21" s="10"/>
      <c r="K21" s="11"/>
    </row>
    <row r="22" customFormat="false" ht="23.85" hidden="false" customHeight="false" outlineLevel="0" collapsed="false">
      <c r="A22" s="9" t="s">
        <v>240</v>
      </c>
      <c r="B22" s="9" t="s">
        <v>166</v>
      </c>
      <c r="C22" s="9" t="s">
        <v>178</v>
      </c>
      <c r="D22" s="10"/>
      <c r="E22" s="9" t="s">
        <v>241</v>
      </c>
      <c r="F22" s="9" t="s">
        <v>211</v>
      </c>
      <c r="G22" s="9" t="n">
        <v>3</v>
      </c>
      <c r="H22" s="9" t="s">
        <v>242</v>
      </c>
      <c r="I22" s="10"/>
      <c r="J22" s="10"/>
      <c r="K22" s="11"/>
    </row>
    <row r="23" customFormat="false" ht="15" hidden="false" customHeight="false" outlineLevel="0" collapsed="false">
      <c r="A23" s="9" t="s">
        <v>243</v>
      </c>
      <c r="B23" s="9" t="s">
        <v>166</v>
      </c>
      <c r="C23" s="9" t="s">
        <v>244</v>
      </c>
      <c r="D23" s="10"/>
      <c r="E23" s="9" t="s">
        <v>245</v>
      </c>
      <c r="F23" s="9" t="s">
        <v>47</v>
      </c>
      <c r="G23" s="9" t="n">
        <v>2</v>
      </c>
      <c r="H23" s="9" t="s">
        <v>246</v>
      </c>
      <c r="I23" s="10"/>
      <c r="J23" s="10"/>
      <c r="K23" s="10" t="s">
        <v>247</v>
      </c>
    </row>
    <row r="24" customFormat="false" ht="15" hidden="false" customHeight="false" outlineLevel="0" collapsed="false">
      <c r="A24" s="9" t="s">
        <v>248</v>
      </c>
      <c r="B24" s="9" t="s">
        <v>166</v>
      </c>
      <c r="C24" s="9" t="s">
        <v>183</v>
      </c>
      <c r="D24" s="10"/>
      <c r="E24" s="9" t="s">
        <v>249</v>
      </c>
      <c r="F24" s="9" t="s">
        <v>47</v>
      </c>
      <c r="G24" s="9" t="n">
        <v>1</v>
      </c>
      <c r="H24" s="9" t="s">
        <v>250</v>
      </c>
      <c r="I24" s="10"/>
      <c r="J24" s="10"/>
      <c r="K24" s="11"/>
    </row>
    <row r="25" customFormat="false" ht="15" hidden="false" customHeight="false" outlineLevel="0" collapsed="false">
      <c r="A25" s="9" t="s">
        <v>251</v>
      </c>
      <c r="B25" s="9" t="s">
        <v>166</v>
      </c>
      <c r="C25" s="9" t="s">
        <v>201</v>
      </c>
      <c r="D25" s="10"/>
      <c r="E25" s="9" t="s">
        <v>74</v>
      </c>
      <c r="F25" s="9" t="s">
        <v>74</v>
      </c>
      <c r="G25" s="9" t="n">
        <v>0</v>
      </c>
      <c r="H25" s="9" t="s">
        <v>74</v>
      </c>
      <c r="I25" s="10"/>
      <c r="J25" s="10"/>
      <c r="K25" s="10" t="s">
        <v>252</v>
      </c>
    </row>
    <row r="26" customFormat="false" ht="15" hidden="false" customHeight="false" outlineLevel="0" collapsed="false">
      <c r="A26" s="9" t="s">
        <v>253</v>
      </c>
      <c r="B26" s="9" t="s">
        <v>166</v>
      </c>
      <c r="C26" s="9" t="s">
        <v>167</v>
      </c>
      <c r="D26" s="10"/>
      <c r="E26" s="9" t="s">
        <v>74</v>
      </c>
      <c r="F26" s="9" t="s">
        <v>74</v>
      </c>
      <c r="G26" s="9" t="n">
        <v>0</v>
      </c>
      <c r="H26" s="9" t="s">
        <v>74</v>
      </c>
      <c r="I26" s="10"/>
      <c r="J26" s="10"/>
      <c r="K26" s="10" t="s">
        <v>252</v>
      </c>
    </row>
    <row r="27" customFormat="false" ht="23.85" hidden="false" customHeight="false" outlineLevel="0" collapsed="false">
      <c r="A27" s="9" t="s">
        <v>254</v>
      </c>
      <c r="B27" s="9" t="s">
        <v>255</v>
      </c>
      <c r="C27" s="10"/>
      <c r="D27" s="10"/>
      <c r="E27" s="9" t="s">
        <v>256</v>
      </c>
      <c r="F27" s="9" t="s">
        <v>257</v>
      </c>
      <c r="G27" s="9" t="n">
        <v>67</v>
      </c>
      <c r="H27" s="9" t="s">
        <v>258</v>
      </c>
      <c r="I27" s="10"/>
      <c r="J27" s="10"/>
      <c r="K27" s="10" t="s">
        <v>259</v>
      </c>
    </row>
    <row r="28" customFormat="false" ht="23.85" hidden="false" customHeight="false" outlineLevel="0" collapsed="false">
      <c r="A28" s="9" t="s">
        <v>260</v>
      </c>
      <c r="B28" s="9" t="s">
        <v>255</v>
      </c>
      <c r="C28" s="10"/>
      <c r="D28" s="10"/>
      <c r="E28" s="9" t="s">
        <v>261</v>
      </c>
      <c r="F28" s="9" t="s">
        <v>47</v>
      </c>
      <c r="G28" s="9" t="n">
        <v>2</v>
      </c>
      <c r="H28" s="9" t="s">
        <v>262</v>
      </c>
      <c r="I28" s="10"/>
      <c r="J28" s="10"/>
      <c r="K28" s="10" t="s">
        <v>263</v>
      </c>
    </row>
    <row r="29" customFormat="false" ht="23.85" hidden="false" customHeight="false" outlineLevel="0" collapsed="false">
      <c r="A29" s="9" t="s">
        <v>264</v>
      </c>
      <c r="B29" s="9" t="s">
        <v>255</v>
      </c>
      <c r="C29" s="10"/>
      <c r="D29" s="10"/>
      <c r="E29" s="9" t="s">
        <v>265</v>
      </c>
      <c r="F29" s="9" t="s">
        <v>47</v>
      </c>
      <c r="G29" s="9" t="n">
        <v>2</v>
      </c>
      <c r="H29" s="9" t="s">
        <v>266</v>
      </c>
      <c r="I29" s="10"/>
      <c r="J29" s="10"/>
      <c r="K29" s="10" t="s">
        <v>263</v>
      </c>
    </row>
    <row r="30" customFormat="false" ht="23.85" hidden="false" customHeight="false" outlineLevel="0" collapsed="false">
      <c r="A30" s="9" t="s">
        <v>267</v>
      </c>
      <c r="B30" s="9" t="s">
        <v>255</v>
      </c>
      <c r="C30" s="10"/>
      <c r="D30" s="10"/>
      <c r="E30" s="9" t="s">
        <v>268</v>
      </c>
      <c r="F30" s="9" t="s">
        <v>47</v>
      </c>
      <c r="G30" s="9" t="n">
        <v>1</v>
      </c>
      <c r="H30" s="9" t="s">
        <v>235</v>
      </c>
      <c r="I30" s="10"/>
      <c r="J30" s="10"/>
      <c r="K30" s="10" t="s">
        <v>263</v>
      </c>
    </row>
    <row r="31" customFormat="false" ht="15" hidden="false" customHeight="false" outlineLevel="0" collapsed="false">
      <c r="A31" s="11"/>
      <c r="B31" s="9" t="s">
        <v>269</v>
      </c>
      <c r="C31" s="10"/>
      <c r="D31" s="9" t="s">
        <v>270</v>
      </c>
      <c r="E31" s="11"/>
      <c r="F31" s="9" t="s">
        <v>271</v>
      </c>
      <c r="G31" s="11"/>
      <c r="H31" s="11"/>
      <c r="I31" s="10"/>
      <c r="J31" s="10"/>
      <c r="K31" s="10" t="s">
        <v>272</v>
      </c>
    </row>
    <row r="32" customFormat="false" ht="15" hidden="false" customHeight="false" outlineLevel="0" collapsed="false">
      <c r="A32" s="11"/>
      <c r="B32" s="11"/>
      <c r="C32" s="10"/>
      <c r="D32" s="10"/>
      <c r="E32" s="11"/>
      <c r="F32" s="11"/>
      <c r="G32" s="11"/>
      <c r="H32" s="11"/>
      <c r="I32" s="10"/>
      <c r="J32" s="10"/>
      <c r="K32" s="11"/>
    </row>
    <row r="33" customFormat="false" ht="15" hidden="false" customHeight="false" outlineLevel="0" collapsed="false">
      <c r="A33" s="11"/>
      <c r="B33" s="11"/>
      <c r="C33" s="10"/>
      <c r="D33" s="10"/>
      <c r="E33" s="11"/>
      <c r="F33" s="11"/>
      <c r="G33" s="11"/>
      <c r="H33" s="11"/>
      <c r="I33" s="10"/>
      <c r="J33" s="10"/>
      <c r="K33" s="11"/>
    </row>
    <row r="34" customFormat="false" ht="15" hidden="false" customHeight="false" outlineLevel="0" collapsed="false">
      <c r="A34" s="11"/>
      <c r="B34" s="11"/>
      <c r="C34" s="10"/>
      <c r="D34" s="10"/>
      <c r="E34" s="11"/>
      <c r="F34" s="11"/>
      <c r="G34" s="11"/>
      <c r="H34" s="11"/>
      <c r="I34" s="10"/>
      <c r="J34" s="10"/>
      <c r="K34" s="11"/>
    </row>
    <row r="35" customFormat="false" ht="15" hidden="false" customHeight="false" outlineLevel="0" collapsed="false">
      <c r="A35" s="11"/>
      <c r="B35" s="11"/>
      <c r="C35" s="10"/>
      <c r="D35" s="10"/>
      <c r="E35" s="11"/>
      <c r="F35" s="11"/>
      <c r="G35" s="11"/>
      <c r="H35" s="11"/>
      <c r="I35" s="10"/>
      <c r="J35" s="10"/>
      <c r="K35" s="11"/>
    </row>
    <row r="36" customFormat="false" ht="15" hidden="false" customHeight="false" outlineLevel="0" collapsed="false">
      <c r="A36" s="11"/>
      <c r="B36" s="11"/>
      <c r="C36" s="10"/>
      <c r="D36" s="10"/>
      <c r="E36" s="11"/>
      <c r="F36" s="11"/>
      <c r="G36" s="11"/>
      <c r="H36" s="11"/>
      <c r="I36" s="10"/>
      <c r="J36" s="10"/>
      <c r="K36" s="11"/>
    </row>
    <row r="37" customFormat="false" ht="15" hidden="false" customHeight="false" outlineLevel="0" collapsed="false">
      <c r="A37" s="11"/>
      <c r="B37" s="11"/>
      <c r="C37" s="10"/>
      <c r="D37" s="10"/>
      <c r="E37" s="11"/>
      <c r="F37" s="11"/>
      <c r="G37" s="11"/>
      <c r="H37" s="11"/>
      <c r="I37" s="10"/>
      <c r="J37" s="10"/>
      <c r="K37" s="11"/>
    </row>
    <row r="38" customFormat="false" ht="15" hidden="false" customHeight="false" outlineLevel="0" collapsed="false">
      <c r="A38" s="11"/>
      <c r="B38" s="11"/>
      <c r="C38" s="10"/>
      <c r="D38" s="10"/>
      <c r="E38" s="11"/>
      <c r="F38" s="11"/>
      <c r="G38" s="11"/>
      <c r="H38" s="11"/>
      <c r="I38" s="10"/>
      <c r="J38" s="10"/>
      <c r="K38" s="11"/>
    </row>
    <row r="39" customFormat="false" ht="15" hidden="false" customHeight="false" outlineLevel="0" collapsed="false">
      <c r="A39" s="11"/>
      <c r="B39" s="11"/>
      <c r="C39" s="10"/>
      <c r="D39" s="10"/>
      <c r="E39" s="11"/>
      <c r="F39" s="11"/>
      <c r="G39" s="11"/>
      <c r="H39" s="11"/>
      <c r="I39" s="10"/>
      <c r="J39" s="10"/>
      <c r="K39" s="11"/>
    </row>
    <row r="40" customFormat="false" ht="15" hidden="false" customHeight="false" outlineLevel="0" collapsed="false">
      <c r="A40" s="11"/>
      <c r="B40" s="11"/>
      <c r="C40" s="10"/>
      <c r="D40" s="10"/>
      <c r="E40" s="11"/>
      <c r="F40" s="11"/>
      <c r="G40" s="11"/>
      <c r="H40" s="11"/>
      <c r="I40" s="10"/>
      <c r="J40" s="10"/>
      <c r="K40" s="11"/>
    </row>
    <row r="41" customFormat="false" ht="15" hidden="false" customHeight="false" outlineLevel="0" collapsed="false">
      <c r="A41" s="11"/>
      <c r="B41" s="11"/>
      <c r="C41" s="10"/>
      <c r="D41" s="10"/>
      <c r="E41" s="11"/>
      <c r="F41" s="11"/>
      <c r="G41" s="11"/>
      <c r="H41" s="11"/>
      <c r="I41" s="10"/>
      <c r="J41" s="10"/>
      <c r="K41" s="11"/>
    </row>
  </sheetData>
  <autoFilter ref="A4:K41"/>
  <dataValidations count="2">
    <dataValidation allowBlank="true" errorStyle="stop" operator="between" showDropDown="false" showErrorMessage="true" showInputMessage="false" sqref="I5:I41" type="list">
      <formula1>"O,N"</formula1>
      <formula2>0</formula2>
    </dataValidation>
    <dataValidation allowBlank="true" errorStyle="stop" operator="between" showDropDown="false" showErrorMessage="true" showInputMessage="false" sqref="J5:J41" type="list">
      <formula1>"O,N"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8"/>
    <col collapsed="false" customWidth="true" hidden="false" outlineLevel="0" max="3" min="3" style="0" width="28"/>
    <col collapsed="false" customWidth="true" hidden="false" outlineLevel="0" max="4" min="4" style="0" width="34"/>
    <col collapsed="false" customWidth="true" hidden="false" outlineLevel="0" max="5" min="5" style="0" width="36"/>
  </cols>
  <sheetData>
    <row r="1" customFormat="false" ht="16.15" hidden="false" customHeight="false" outlineLevel="0" collapsed="false">
      <c r="A1" s="1" t="s">
        <v>273</v>
      </c>
    </row>
    <row r="2" customFormat="false" ht="15" hidden="false" customHeight="false" outlineLevel="0" collapsed="false">
      <c r="A2" s="6" t="s">
        <v>274</v>
      </c>
    </row>
    <row r="4" customFormat="false" ht="23.85" hidden="false" customHeight="false" outlineLevel="0" collapsed="false">
      <c r="A4" s="7" t="s">
        <v>275</v>
      </c>
      <c r="B4" s="7" t="s">
        <v>276</v>
      </c>
      <c r="C4" s="7" t="s">
        <v>277</v>
      </c>
      <c r="D4" s="7" t="s">
        <v>278</v>
      </c>
      <c r="E4" s="7" t="s">
        <v>40</v>
      </c>
    </row>
    <row r="5" customFormat="false" ht="23.85" hidden="false" customHeight="false" outlineLevel="0" collapsed="false">
      <c r="A5" s="9" t="s">
        <v>72</v>
      </c>
      <c r="B5" s="10"/>
      <c r="C5" s="9" t="s">
        <v>279</v>
      </c>
      <c r="D5" s="10"/>
      <c r="E5" s="9" t="s">
        <v>280</v>
      </c>
    </row>
    <row r="6" customFormat="false" ht="15" hidden="false" customHeight="false" outlineLevel="0" collapsed="false">
      <c r="A6" s="9" t="s">
        <v>58</v>
      </c>
      <c r="B6" s="10"/>
      <c r="C6" s="10"/>
      <c r="D6" s="10"/>
      <c r="E6" s="9" t="s">
        <v>281</v>
      </c>
    </row>
    <row r="7" customFormat="false" ht="23.85" hidden="false" customHeight="false" outlineLevel="0" collapsed="false">
      <c r="A7" s="9" t="s">
        <v>128</v>
      </c>
      <c r="B7" s="10"/>
      <c r="C7" s="9" t="s">
        <v>279</v>
      </c>
      <c r="D7" s="10"/>
      <c r="E7" s="9" t="s">
        <v>282</v>
      </c>
    </row>
    <row r="8" customFormat="false" ht="15" hidden="false" customHeight="false" outlineLevel="0" collapsed="false">
      <c r="A8" s="9" t="s">
        <v>283</v>
      </c>
      <c r="B8" s="10"/>
      <c r="C8" s="10"/>
      <c r="D8" s="10"/>
      <c r="E8" s="9" t="s">
        <v>281</v>
      </c>
    </row>
    <row r="9" customFormat="false" ht="23.85" hidden="false" customHeight="false" outlineLevel="0" collapsed="false">
      <c r="A9" s="9" t="s">
        <v>48</v>
      </c>
      <c r="B9" s="10"/>
      <c r="C9" s="9" t="s">
        <v>284</v>
      </c>
      <c r="D9" s="10" t="s">
        <v>285</v>
      </c>
      <c r="E9" s="9" t="s">
        <v>280</v>
      </c>
    </row>
    <row r="10" customFormat="false" ht="15" hidden="false" customHeight="false" outlineLevel="0" collapsed="false">
      <c r="A10" s="9" t="s">
        <v>286</v>
      </c>
      <c r="B10" s="10"/>
      <c r="C10" s="10"/>
      <c r="D10" s="10"/>
      <c r="E10" s="9" t="s">
        <v>281</v>
      </c>
    </row>
    <row r="11" customFormat="false" ht="23.85" hidden="false" customHeight="false" outlineLevel="0" collapsed="false">
      <c r="A11" s="9" t="s">
        <v>287</v>
      </c>
      <c r="B11" s="10"/>
      <c r="C11" s="9" t="s">
        <v>288</v>
      </c>
      <c r="D11" s="10"/>
      <c r="E11" s="9" t="s">
        <v>280</v>
      </c>
    </row>
    <row r="12" customFormat="false" ht="23.85" hidden="false" customHeight="false" outlineLevel="0" collapsed="false">
      <c r="A12" s="9" t="s">
        <v>289</v>
      </c>
      <c r="B12" s="10"/>
      <c r="C12" s="9" t="s">
        <v>290</v>
      </c>
      <c r="D12" s="10"/>
      <c r="E12" s="9" t="s">
        <v>280</v>
      </c>
    </row>
    <row r="13" customFormat="false" ht="23.85" hidden="false" customHeight="false" outlineLevel="0" collapsed="false">
      <c r="A13" s="9" t="s">
        <v>122</v>
      </c>
      <c r="B13" s="10"/>
      <c r="C13" s="9" t="s">
        <v>279</v>
      </c>
      <c r="D13" s="10"/>
      <c r="E13" s="9" t="s">
        <v>282</v>
      </c>
    </row>
    <row r="14" customFormat="false" ht="15" hidden="false" customHeight="false" outlineLevel="0" collapsed="false">
      <c r="A14" s="9" t="s">
        <v>141</v>
      </c>
      <c r="B14" s="10"/>
      <c r="C14" s="10"/>
      <c r="D14" s="10"/>
      <c r="E14" s="9" t="s">
        <v>281</v>
      </c>
    </row>
  </sheetData>
  <autoFilter ref="A4:E14"/>
  <dataValidations count="2">
    <dataValidation allowBlank="true" errorStyle="stop" operator="between" showDropDown="false" showErrorMessage="true" showInputMessage="false" sqref="B5:B14" type="list">
      <formula1>"100,101,200,300,400,500,600,700,800,900"</formula1>
      <formula2>0</formula2>
    </dataValidation>
    <dataValidation allowBlank="true" errorStyle="stop" operator="between" showDropDown="false" showErrorMessage="true" showInputMessage="false" sqref="C5:C14" type="list">
      <formula1>"SERVICE,BUS,LOCATION,ADMINISTRATION,LOGISTIQUE,Aucun"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0"/>
    <col collapsed="false" customWidth="true" hidden="false" outlineLevel="0" max="3" min="3" style="0" width="22"/>
    <col collapsed="false" customWidth="true" hidden="false" outlineLevel="0" max="4" min="4" style="0" width="24"/>
    <col collapsed="false" customWidth="true" hidden="false" outlineLevel="0" max="5" min="5" style="0" width="13"/>
    <col collapsed="false" customWidth="true" hidden="false" outlineLevel="0" max="6" min="6" style="0" width="15"/>
    <col collapsed="false" customWidth="true" hidden="false" outlineLevel="0" max="7" min="7" style="0" width="17"/>
    <col collapsed="false" customWidth="true" hidden="false" outlineLevel="0" max="8" min="8" style="0" width="16"/>
    <col collapsed="false" customWidth="true" hidden="false" outlineLevel="0" max="9" min="9" style="0" width="22"/>
    <col collapsed="false" customWidth="true" hidden="false" outlineLevel="0" max="10" min="10" style="0" width="20"/>
    <col collapsed="false" customWidth="true" hidden="false" outlineLevel="0" max="11" min="11" style="0" width="22"/>
    <col collapsed="false" customWidth="true" hidden="false" outlineLevel="0" max="12" min="12" style="0" width="24"/>
    <col collapsed="false" customWidth="true" hidden="false" outlineLevel="0" max="13" min="13" style="0" width="40"/>
    <col collapsed="false" customWidth="true" hidden="false" outlineLevel="0" max="14" min="14" style="0" width="12"/>
    <col collapsed="false" customWidth="true" hidden="false" outlineLevel="0" max="15" min="15" style="0" width="40"/>
  </cols>
  <sheetData>
    <row r="1" customFormat="false" ht="16.15" hidden="false" customHeight="false" outlineLevel="0" collapsed="false">
      <c r="A1" s="1" t="s">
        <v>291</v>
      </c>
    </row>
    <row r="2" customFormat="false" ht="15" hidden="false" customHeight="false" outlineLevel="0" collapsed="false">
      <c r="A2" s="6" t="s">
        <v>292</v>
      </c>
    </row>
    <row r="4" customFormat="false" ht="46.25" hidden="false" customHeight="false" outlineLevel="0" collapsed="false">
      <c r="A4" s="7" t="s">
        <v>293</v>
      </c>
      <c r="B4" s="7" t="s">
        <v>294</v>
      </c>
      <c r="C4" s="7" t="s">
        <v>32</v>
      </c>
      <c r="D4" s="7" t="s">
        <v>295</v>
      </c>
      <c r="E4" s="7" t="s">
        <v>296</v>
      </c>
      <c r="F4" s="7" t="s">
        <v>297</v>
      </c>
      <c r="G4" s="7" t="s">
        <v>298</v>
      </c>
      <c r="H4" s="7" t="s">
        <v>299</v>
      </c>
      <c r="I4" s="7" t="s">
        <v>300</v>
      </c>
      <c r="J4" s="7" t="s">
        <v>301</v>
      </c>
      <c r="K4" s="7" t="s">
        <v>302</v>
      </c>
      <c r="L4" s="7" t="s">
        <v>303</v>
      </c>
      <c r="M4" s="7" t="s">
        <v>304</v>
      </c>
      <c r="N4" s="7" t="s">
        <v>305</v>
      </c>
      <c r="O4" s="7" t="s">
        <v>40</v>
      </c>
    </row>
    <row r="5" customFormat="false" ht="35.05" hidden="false" customHeight="false" outlineLevel="0" collapsed="false">
      <c r="A5" s="9" t="s">
        <v>47</v>
      </c>
      <c r="B5" s="9" t="s">
        <v>306</v>
      </c>
      <c r="C5" s="9" t="s">
        <v>46</v>
      </c>
      <c r="D5" s="9" t="s">
        <v>307</v>
      </c>
      <c r="E5" s="9" t="s">
        <v>308</v>
      </c>
      <c r="F5" s="12" t="n">
        <v>250000000</v>
      </c>
      <c r="G5" s="12" t="n">
        <v>50000000</v>
      </c>
      <c r="H5" s="12" t="n">
        <v>20000000</v>
      </c>
      <c r="I5" s="10"/>
      <c r="J5" s="10"/>
      <c r="K5" s="9" t="s">
        <v>309</v>
      </c>
      <c r="L5" s="9" t="s">
        <v>310</v>
      </c>
      <c r="M5" s="9" t="s">
        <v>311</v>
      </c>
      <c r="N5" s="9" t="s">
        <v>53</v>
      </c>
      <c r="O5" s="10"/>
    </row>
    <row r="6" customFormat="false" ht="23.85" hidden="false" customHeight="false" outlineLevel="0" collapsed="false">
      <c r="A6" s="9" t="s">
        <v>47</v>
      </c>
      <c r="B6" s="9" t="s">
        <v>306</v>
      </c>
      <c r="C6" s="9" t="s">
        <v>46</v>
      </c>
      <c r="D6" s="9" t="s">
        <v>312</v>
      </c>
      <c r="E6" s="9" t="s">
        <v>313</v>
      </c>
      <c r="F6" s="12" t="n">
        <v>500000000</v>
      </c>
      <c r="G6" s="12" t="n">
        <v>100000000</v>
      </c>
      <c r="H6" s="9" t="s">
        <v>314</v>
      </c>
      <c r="I6" s="10"/>
      <c r="J6" s="10"/>
      <c r="K6" s="10" t="s">
        <v>96</v>
      </c>
      <c r="L6" s="10" t="s">
        <v>96</v>
      </c>
      <c r="M6" s="10"/>
      <c r="N6" s="9" t="s">
        <v>315</v>
      </c>
      <c r="O6" s="9" t="s">
        <v>316</v>
      </c>
    </row>
    <row r="7" customFormat="false" ht="23.85" hidden="false" customHeight="false" outlineLevel="0" collapsed="false">
      <c r="A7" s="9" t="s">
        <v>47</v>
      </c>
      <c r="B7" s="9" t="s">
        <v>306</v>
      </c>
      <c r="C7" s="9" t="s">
        <v>46</v>
      </c>
      <c r="D7" s="9" t="s">
        <v>317</v>
      </c>
      <c r="E7" s="9" t="s">
        <v>308</v>
      </c>
      <c r="F7" s="12" t="n">
        <v>15000000</v>
      </c>
      <c r="G7" s="12" t="n">
        <v>3000000</v>
      </c>
      <c r="H7" s="12" t="n">
        <v>1000000</v>
      </c>
      <c r="I7" s="9" t="s">
        <v>318</v>
      </c>
      <c r="J7" s="10"/>
      <c r="K7" s="9" t="s">
        <v>319</v>
      </c>
      <c r="L7" s="10" t="s">
        <v>320</v>
      </c>
      <c r="M7" s="10"/>
      <c r="N7" s="9" t="s">
        <v>315</v>
      </c>
      <c r="O7" s="9" t="s">
        <v>321</v>
      </c>
    </row>
    <row r="8" customFormat="false" ht="23.85" hidden="false" customHeight="false" outlineLevel="0" collapsed="false">
      <c r="A8" s="9" t="s">
        <v>322</v>
      </c>
      <c r="B8" s="9" t="s">
        <v>323</v>
      </c>
      <c r="C8" s="9" t="s">
        <v>46</v>
      </c>
      <c r="D8" s="9" t="s">
        <v>324</v>
      </c>
      <c r="E8" s="9" t="s">
        <v>308</v>
      </c>
      <c r="F8" s="12" t="n">
        <v>100000000</v>
      </c>
      <c r="G8" s="12" t="n">
        <v>20000000</v>
      </c>
      <c r="H8" s="13" t="n">
        <v>4000000</v>
      </c>
      <c r="I8" s="10"/>
      <c r="J8" s="10"/>
      <c r="K8" s="10"/>
      <c r="L8" s="10"/>
      <c r="M8" s="10"/>
      <c r="N8" s="9" t="s">
        <v>315</v>
      </c>
      <c r="O8" s="9" t="s">
        <v>325</v>
      </c>
    </row>
    <row r="9" customFormat="false" ht="15" hidden="false" customHeight="false" outlineLevel="0" collapsed="false">
      <c r="A9" s="9" t="s">
        <v>238</v>
      </c>
      <c r="B9" s="9" t="s">
        <v>326</v>
      </c>
      <c r="C9" s="9" t="s">
        <v>46</v>
      </c>
      <c r="D9" s="9" t="s">
        <v>327</v>
      </c>
      <c r="E9" s="9" t="s">
        <v>308</v>
      </c>
      <c r="F9" s="12" t="n">
        <v>20000000</v>
      </c>
      <c r="G9" s="12" t="n">
        <v>5000000</v>
      </c>
      <c r="H9" s="12" t="n">
        <v>1000000</v>
      </c>
      <c r="I9" s="10"/>
      <c r="J9" s="10"/>
      <c r="K9" s="10"/>
      <c r="L9" s="10"/>
      <c r="M9" s="10"/>
      <c r="N9" s="9" t="s">
        <v>315</v>
      </c>
      <c r="O9" s="10"/>
    </row>
    <row r="10" customFormat="false" ht="15" hidden="false" customHeight="false" outlineLevel="0" collapsed="false">
      <c r="A10" s="9" t="s">
        <v>328</v>
      </c>
      <c r="B10" s="9" t="s">
        <v>329</v>
      </c>
      <c r="C10" s="9" t="s">
        <v>46</v>
      </c>
      <c r="D10" s="9" t="s">
        <v>330</v>
      </c>
      <c r="E10" s="9" t="s">
        <v>308</v>
      </c>
      <c r="F10" s="12" t="n">
        <v>5000000</v>
      </c>
      <c r="G10" s="12" t="n">
        <v>1000000</v>
      </c>
      <c r="H10" s="12" t="n">
        <v>1000000</v>
      </c>
      <c r="I10" s="10"/>
      <c r="J10" s="10"/>
      <c r="K10" s="10"/>
      <c r="L10" s="10"/>
      <c r="M10" s="10"/>
      <c r="N10" s="9" t="s">
        <v>315</v>
      </c>
      <c r="O10" s="10"/>
    </row>
    <row r="11" customFormat="false" ht="23.85" hidden="false" customHeight="false" outlineLevel="0" collapsed="false">
      <c r="A11" s="9" t="s">
        <v>331</v>
      </c>
      <c r="B11" s="9" t="s">
        <v>332</v>
      </c>
      <c r="C11" s="9" t="s">
        <v>46</v>
      </c>
      <c r="D11" s="9" t="s">
        <v>333</v>
      </c>
      <c r="E11" s="9" t="s">
        <v>308</v>
      </c>
      <c r="F11" s="12" t="n">
        <v>5000000</v>
      </c>
      <c r="G11" s="12" t="n">
        <v>1000000</v>
      </c>
      <c r="H11" s="12" t="n">
        <v>1000000</v>
      </c>
      <c r="I11" s="10"/>
      <c r="J11" s="10"/>
      <c r="K11" s="10"/>
      <c r="L11" s="10"/>
      <c r="M11" s="10"/>
      <c r="N11" s="9" t="s">
        <v>315</v>
      </c>
      <c r="O11" s="9" t="s">
        <v>334</v>
      </c>
    </row>
    <row r="12" customFormat="false" ht="15" hidden="false" customHeight="false" outlineLevel="0" collapsed="false">
      <c r="A12" s="9" t="s">
        <v>335</v>
      </c>
      <c r="B12" s="9" t="s">
        <v>336</v>
      </c>
      <c r="C12" s="9" t="s">
        <v>46</v>
      </c>
      <c r="D12" s="9" t="s">
        <v>337</v>
      </c>
      <c r="E12" s="9" t="s">
        <v>308</v>
      </c>
      <c r="F12" s="12" t="n">
        <v>5000000</v>
      </c>
      <c r="G12" s="12" t="n">
        <v>1000000</v>
      </c>
      <c r="H12" s="12" t="n">
        <v>1000000</v>
      </c>
      <c r="I12" s="10"/>
      <c r="J12" s="10"/>
      <c r="K12" s="10"/>
      <c r="L12" s="10"/>
      <c r="M12" s="10"/>
      <c r="N12" s="9" t="s">
        <v>315</v>
      </c>
      <c r="O12" s="9" t="s">
        <v>338</v>
      </c>
    </row>
    <row r="13" customFormat="false" ht="35.05" hidden="false" customHeight="false" outlineLevel="0" collapsed="false">
      <c r="A13" s="9" t="s">
        <v>339</v>
      </c>
      <c r="B13" s="10" t="s">
        <v>96</v>
      </c>
      <c r="C13" s="10" t="s">
        <v>340</v>
      </c>
      <c r="D13" s="9" t="s">
        <v>341</v>
      </c>
      <c r="E13" s="9" t="s">
        <v>308</v>
      </c>
      <c r="F13" s="10" t="s">
        <v>96</v>
      </c>
      <c r="G13" s="10" t="s">
        <v>96</v>
      </c>
      <c r="H13" s="12" t="n">
        <v>1000000</v>
      </c>
      <c r="I13" s="10"/>
      <c r="J13" s="10"/>
      <c r="K13" s="10"/>
      <c r="L13" s="10"/>
      <c r="M13" s="10"/>
      <c r="N13" s="9" t="s">
        <v>315</v>
      </c>
      <c r="O13" s="9" t="s">
        <v>342</v>
      </c>
    </row>
  </sheetData>
  <autoFilter ref="A4:O1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2"/>
    <col collapsed="false" customWidth="true" hidden="false" outlineLevel="0" max="3" min="3" style="0" width="36"/>
    <col collapsed="false" customWidth="true" hidden="false" outlineLevel="0" max="4" min="4" style="0" width="30"/>
    <col collapsed="false" customWidth="true" hidden="false" outlineLevel="0" max="5" min="5" style="0" width="28"/>
    <col collapsed="false" customWidth="true" hidden="false" outlineLevel="0" max="6" min="6" style="0" width="32"/>
    <col collapsed="false" customWidth="true" hidden="false" outlineLevel="0" max="7" min="7" style="0" width="40"/>
  </cols>
  <sheetData>
    <row r="1" customFormat="false" ht="16.15" hidden="false" customHeight="false" outlineLevel="0" collapsed="false">
      <c r="A1" s="1" t="s">
        <v>343</v>
      </c>
    </row>
    <row r="2" customFormat="false" ht="15" hidden="false" customHeight="false" outlineLevel="0" collapsed="false">
      <c r="A2" s="6" t="s">
        <v>344</v>
      </c>
    </row>
    <row r="4" customFormat="false" ht="15" hidden="false" customHeight="false" outlineLevel="0" collapsed="false">
      <c r="A4" s="7" t="s">
        <v>293</v>
      </c>
      <c r="B4" s="7" t="s">
        <v>34</v>
      </c>
      <c r="C4" s="7" t="s">
        <v>345</v>
      </c>
      <c r="D4" s="7" t="s">
        <v>346</v>
      </c>
      <c r="E4" s="7" t="s">
        <v>347</v>
      </c>
      <c r="F4" s="7" t="s">
        <v>348</v>
      </c>
      <c r="G4" s="7" t="s">
        <v>40</v>
      </c>
    </row>
    <row r="5" customFormat="false" ht="23.85" hidden="false" customHeight="false" outlineLevel="0" collapsed="false">
      <c r="A5" s="9" t="s">
        <v>349</v>
      </c>
      <c r="B5" s="9" t="s">
        <v>349</v>
      </c>
      <c r="C5" s="9" t="s">
        <v>350</v>
      </c>
      <c r="D5" s="9" t="s">
        <v>351</v>
      </c>
      <c r="E5" s="10"/>
      <c r="F5" s="10"/>
      <c r="G5" s="9" t="s">
        <v>352</v>
      </c>
    </row>
    <row r="6" customFormat="false" ht="15" hidden="false" customHeight="false" outlineLevel="0" collapsed="false">
      <c r="A6" s="9" t="s">
        <v>349</v>
      </c>
      <c r="B6" s="9" t="s">
        <v>349</v>
      </c>
      <c r="C6" s="9" t="s">
        <v>353</v>
      </c>
      <c r="D6" s="9" t="s">
        <v>354</v>
      </c>
      <c r="E6" s="9" t="s">
        <v>355</v>
      </c>
      <c r="F6" s="9" t="s">
        <v>356</v>
      </c>
      <c r="G6" s="9" t="s">
        <v>357</v>
      </c>
    </row>
    <row r="7" customFormat="false" ht="15" hidden="false" customHeight="false" outlineLevel="0" collapsed="false">
      <c r="A7" s="9" t="s">
        <v>349</v>
      </c>
      <c r="B7" s="9" t="s">
        <v>349</v>
      </c>
      <c r="C7" s="9" t="s">
        <v>358</v>
      </c>
      <c r="D7" s="9" t="s">
        <v>60</v>
      </c>
      <c r="E7" s="10"/>
      <c r="F7" s="10"/>
      <c r="G7" s="9" t="s">
        <v>359</v>
      </c>
    </row>
    <row r="8" customFormat="false" ht="15" hidden="false" customHeight="false" outlineLevel="0" collapsed="false">
      <c r="A8" s="9" t="s">
        <v>349</v>
      </c>
      <c r="B8" s="9" t="s">
        <v>349</v>
      </c>
      <c r="C8" s="9" t="s">
        <v>360</v>
      </c>
      <c r="D8" s="9" t="s">
        <v>90</v>
      </c>
      <c r="E8" s="9" t="s">
        <v>361</v>
      </c>
      <c r="F8" s="10" t="s">
        <v>362</v>
      </c>
      <c r="G8" s="10"/>
    </row>
    <row r="9" customFormat="false" ht="15" hidden="false" customHeight="false" outlineLevel="0" collapsed="false">
      <c r="A9" s="9" t="s">
        <v>349</v>
      </c>
      <c r="B9" s="9" t="s">
        <v>349</v>
      </c>
      <c r="C9" s="9" t="s">
        <v>363</v>
      </c>
      <c r="D9" s="10" t="s">
        <v>364</v>
      </c>
      <c r="E9" s="10"/>
      <c r="F9" s="10"/>
      <c r="G9" s="9" t="s">
        <v>365</v>
      </c>
    </row>
    <row r="10" customFormat="false" ht="15" hidden="false" customHeight="false" outlineLevel="0" collapsed="false">
      <c r="A10" s="9" t="s">
        <v>47</v>
      </c>
      <c r="B10" s="9" t="s">
        <v>366</v>
      </c>
      <c r="C10" s="9" t="s">
        <v>367</v>
      </c>
      <c r="D10" s="10" t="s">
        <v>368</v>
      </c>
      <c r="E10" s="10"/>
      <c r="F10" s="10"/>
      <c r="G10" s="10"/>
    </row>
    <row r="11" customFormat="false" ht="15" hidden="false" customHeight="false" outlineLevel="0" collapsed="false">
      <c r="A11" s="9" t="s">
        <v>47</v>
      </c>
      <c r="B11" s="9" t="s">
        <v>72</v>
      </c>
      <c r="C11" s="9" t="s">
        <v>369</v>
      </c>
      <c r="D11" s="10"/>
      <c r="E11" s="10"/>
      <c r="F11" s="10"/>
      <c r="G11" s="9" t="s">
        <v>370</v>
      </c>
    </row>
    <row r="12" customFormat="false" ht="15" hidden="false" customHeight="false" outlineLevel="0" collapsed="false">
      <c r="A12" s="9" t="s">
        <v>47</v>
      </c>
      <c r="B12" s="9" t="s">
        <v>58</v>
      </c>
      <c r="C12" s="9" t="s">
        <v>369</v>
      </c>
      <c r="D12" s="10"/>
      <c r="E12" s="10"/>
      <c r="F12" s="10"/>
      <c r="G12" s="9" t="s">
        <v>370</v>
      </c>
    </row>
    <row r="13" customFormat="false" ht="15" hidden="false" customHeight="false" outlineLevel="0" collapsed="false">
      <c r="A13" s="9" t="s">
        <v>47</v>
      </c>
      <c r="B13" s="9" t="s">
        <v>128</v>
      </c>
      <c r="C13" s="9" t="s">
        <v>369</v>
      </c>
      <c r="D13" s="10"/>
      <c r="E13" s="10"/>
      <c r="F13" s="10"/>
      <c r="G13" s="9" t="s">
        <v>370</v>
      </c>
    </row>
    <row r="14" customFormat="false" ht="15" hidden="false" customHeight="false" outlineLevel="0" collapsed="false">
      <c r="A14" s="9" t="s">
        <v>47</v>
      </c>
      <c r="B14" s="9" t="s">
        <v>283</v>
      </c>
      <c r="C14" s="9" t="s">
        <v>369</v>
      </c>
      <c r="D14" s="10"/>
      <c r="E14" s="10"/>
      <c r="F14" s="10"/>
      <c r="G14" s="9" t="s">
        <v>370</v>
      </c>
    </row>
    <row r="15" customFormat="false" ht="15" hidden="false" customHeight="false" outlineLevel="0" collapsed="false">
      <c r="A15" s="9" t="s">
        <v>47</v>
      </c>
      <c r="B15" s="9" t="s">
        <v>48</v>
      </c>
      <c r="C15" s="9" t="s">
        <v>369</v>
      </c>
      <c r="D15" s="10"/>
      <c r="E15" s="10"/>
      <c r="F15" s="10"/>
      <c r="G15" s="9" t="s">
        <v>370</v>
      </c>
    </row>
    <row r="16" customFormat="false" ht="15" hidden="false" customHeight="false" outlineLevel="0" collapsed="false">
      <c r="A16" s="9" t="s">
        <v>47</v>
      </c>
      <c r="B16" s="9" t="s">
        <v>286</v>
      </c>
      <c r="C16" s="9" t="s">
        <v>369</v>
      </c>
      <c r="D16" s="10"/>
      <c r="E16" s="10"/>
      <c r="F16" s="10"/>
      <c r="G16" s="9" t="s">
        <v>370</v>
      </c>
    </row>
    <row r="17" customFormat="false" ht="15" hidden="false" customHeight="false" outlineLevel="0" collapsed="false">
      <c r="A17" s="9" t="s">
        <v>47</v>
      </c>
      <c r="B17" s="9" t="s">
        <v>287</v>
      </c>
      <c r="C17" s="9" t="s">
        <v>369</v>
      </c>
      <c r="D17" s="10"/>
      <c r="E17" s="10"/>
      <c r="F17" s="10"/>
      <c r="G17" s="9" t="s">
        <v>370</v>
      </c>
    </row>
    <row r="18" customFormat="false" ht="15" hidden="false" customHeight="false" outlineLevel="0" collapsed="false">
      <c r="A18" s="9" t="s">
        <v>47</v>
      </c>
      <c r="B18" s="9" t="s">
        <v>289</v>
      </c>
      <c r="C18" s="9" t="s">
        <v>369</v>
      </c>
      <c r="D18" s="10"/>
      <c r="E18" s="10"/>
      <c r="F18" s="10"/>
      <c r="G18" s="9" t="s">
        <v>370</v>
      </c>
    </row>
    <row r="19" customFormat="false" ht="15" hidden="false" customHeight="false" outlineLevel="0" collapsed="false">
      <c r="A19" s="9" t="s">
        <v>47</v>
      </c>
      <c r="B19" s="9" t="s">
        <v>122</v>
      </c>
      <c r="C19" s="9" t="s">
        <v>369</v>
      </c>
      <c r="D19" s="10"/>
      <c r="E19" s="10"/>
      <c r="F19" s="10"/>
      <c r="G19" s="9" t="s">
        <v>370</v>
      </c>
    </row>
    <row r="20" customFormat="false" ht="15" hidden="false" customHeight="false" outlineLevel="0" collapsed="false">
      <c r="A20" s="9" t="s">
        <v>47</v>
      </c>
      <c r="B20" s="9" t="s">
        <v>141</v>
      </c>
      <c r="C20" s="9" t="s">
        <v>369</v>
      </c>
      <c r="D20" s="10"/>
      <c r="E20" s="10"/>
      <c r="F20" s="10"/>
      <c r="G20" s="9" t="s">
        <v>370</v>
      </c>
    </row>
    <row r="21" customFormat="false" ht="15" hidden="false" customHeight="false" outlineLevel="0" collapsed="false">
      <c r="A21" s="9" t="s">
        <v>322</v>
      </c>
      <c r="B21" s="9" t="s">
        <v>72</v>
      </c>
      <c r="C21" s="9" t="s">
        <v>369</v>
      </c>
      <c r="D21" s="10"/>
      <c r="E21" s="10"/>
      <c r="F21" s="10"/>
      <c r="G21" s="9" t="s">
        <v>370</v>
      </c>
    </row>
    <row r="22" customFormat="false" ht="15" hidden="false" customHeight="false" outlineLevel="0" collapsed="false">
      <c r="A22" s="9" t="s">
        <v>322</v>
      </c>
      <c r="B22" s="9" t="s">
        <v>58</v>
      </c>
      <c r="C22" s="9" t="s">
        <v>369</v>
      </c>
      <c r="D22" s="10"/>
      <c r="E22" s="10"/>
      <c r="F22" s="10"/>
      <c r="G22" s="9" t="s">
        <v>370</v>
      </c>
    </row>
    <row r="23" customFormat="false" ht="15" hidden="false" customHeight="false" outlineLevel="0" collapsed="false">
      <c r="A23" s="9" t="s">
        <v>322</v>
      </c>
      <c r="B23" s="9" t="s">
        <v>128</v>
      </c>
      <c r="C23" s="9" t="s">
        <v>369</v>
      </c>
      <c r="D23" s="10"/>
      <c r="E23" s="10"/>
      <c r="F23" s="10"/>
      <c r="G23" s="9" t="s">
        <v>370</v>
      </c>
    </row>
    <row r="24" customFormat="false" ht="15" hidden="false" customHeight="false" outlineLevel="0" collapsed="false">
      <c r="A24" s="9" t="s">
        <v>322</v>
      </c>
      <c r="B24" s="9" t="s">
        <v>283</v>
      </c>
      <c r="C24" s="9" t="s">
        <v>369</v>
      </c>
      <c r="D24" s="10"/>
      <c r="E24" s="10"/>
      <c r="F24" s="10"/>
      <c r="G24" s="9" t="s">
        <v>370</v>
      </c>
    </row>
    <row r="25" customFormat="false" ht="15" hidden="false" customHeight="false" outlineLevel="0" collapsed="false">
      <c r="A25" s="9" t="s">
        <v>322</v>
      </c>
      <c r="B25" s="9" t="s">
        <v>48</v>
      </c>
      <c r="C25" s="9" t="s">
        <v>369</v>
      </c>
      <c r="D25" s="10"/>
      <c r="E25" s="10"/>
      <c r="F25" s="10"/>
      <c r="G25" s="9" t="s">
        <v>370</v>
      </c>
    </row>
    <row r="26" customFormat="false" ht="15" hidden="false" customHeight="false" outlineLevel="0" collapsed="false">
      <c r="A26" s="9" t="s">
        <v>322</v>
      </c>
      <c r="B26" s="9" t="s">
        <v>286</v>
      </c>
      <c r="C26" s="9" t="s">
        <v>369</v>
      </c>
      <c r="D26" s="10"/>
      <c r="E26" s="10"/>
      <c r="F26" s="10"/>
      <c r="G26" s="9" t="s">
        <v>370</v>
      </c>
    </row>
    <row r="27" customFormat="false" ht="15" hidden="false" customHeight="false" outlineLevel="0" collapsed="false">
      <c r="A27" s="9" t="s">
        <v>322</v>
      </c>
      <c r="B27" s="9" t="s">
        <v>287</v>
      </c>
      <c r="C27" s="9" t="s">
        <v>369</v>
      </c>
      <c r="D27" s="10"/>
      <c r="E27" s="10"/>
      <c r="F27" s="10"/>
      <c r="G27" s="9" t="s">
        <v>370</v>
      </c>
    </row>
    <row r="28" customFormat="false" ht="15" hidden="false" customHeight="false" outlineLevel="0" collapsed="false">
      <c r="A28" s="9" t="s">
        <v>322</v>
      </c>
      <c r="B28" s="9" t="s">
        <v>289</v>
      </c>
      <c r="C28" s="9" t="s">
        <v>369</v>
      </c>
      <c r="D28" s="10"/>
      <c r="E28" s="10"/>
      <c r="F28" s="10"/>
      <c r="G28" s="9" t="s">
        <v>370</v>
      </c>
    </row>
    <row r="29" customFormat="false" ht="15" hidden="false" customHeight="false" outlineLevel="0" collapsed="false">
      <c r="A29" s="9" t="s">
        <v>322</v>
      </c>
      <c r="B29" s="9" t="s">
        <v>122</v>
      </c>
      <c r="C29" s="9" t="s">
        <v>369</v>
      </c>
      <c r="D29" s="10"/>
      <c r="E29" s="10"/>
      <c r="F29" s="10"/>
      <c r="G29" s="9" t="s">
        <v>370</v>
      </c>
    </row>
    <row r="30" customFormat="false" ht="15" hidden="false" customHeight="false" outlineLevel="0" collapsed="false">
      <c r="A30" s="9" t="s">
        <v>322</v>
      </c>
      <c r="B30" s="9" t="s">
        <v>141</v>
      </c>
      <c r="C30" s="9" t="s">
        <v>369</v>
      </c>
      <c r="D30" s="10"/>
      <c r="E30" s="10"/>
      <c r="F30" s="10"/>
      <c r="G30" s="9" t="s">
        <v>370</v>
      </c>
    </row>
    <row r="31" customFormat="false" ht="15" hidden="false" customHeight="false" outlineLevel="0" collapsed="false">
      <c r="A31" s="9" t="s">
        <v>238</v>
      </c>
      <c r="B31" s="9" t="s">
        <v>72</v>
      </c>
      <c r="C31" s="9" t="s">
        <v>369</v>
      </c>
      <c r="D31" s="10"/>
      <c r="E31" s="10"/>
      <c r="F31" s="10"/>
      <c r="G31" s="9" t="s">
        <v>370</v>
      </c>
    </row>
    <row r="32" customFormat="false" ht="15" hidden="false" customHeight="false" outlineLevel="0" collapsed="false">
      <c r="A32" s="9" t="s">
        <v>238</v>
      </c>
      <c r="B32" s="9" t="s">
        <v>58</v>
      </c>
      <c r="C32" s="9" t="s">
        <v>369</v>
      </c>
      <c r="D32" s="10"/>
      <c r="E32" s="10"/>
      <c r="F32" s="10"/>
      <c r="G32" s="9" t="s">
        <v>370</v>
      </c>
    </row>
    <row r="33" customFormat="false" ht="15" hidden="false" customHeight="false" outlineLevel="0" collapsed="false">
      <c r="A33" s="9" t="s">
        <v>238</v>
      </c>
      <c r="B33" s="9" t="s">
        <v>128</v>
      </c>
      <c r="C33" s="9" t="s">
        <v>369</v>
      </c>
      <c r="D33" s="10"/>
      <c r="E33" s="10"/>
      <c r="F33" s="10"/>
      <c r="G33" s="9" t="s">
        <v>370</v>
      </c>
    </row>
    <row r="34" customFormat="false" ht="15" hidden="false" customHeight="false" outlineLevel="0" collapsed="false">
      <c r="A34" s="9" t="s">
        <v>238</v>
      </c>
      <c r="B34" s="9" t="s">
        <v>283</v>
      </c>
      <c r="C34" s="9" t="s">
        <v>369</v>
      </c>
      <c r="D34" s="10"/>
      <c r="E34" s="10"/>
      <c r="F34" s="10"/>
      <c r="G34" s="9" t="s">
        <v>370</v>
      </c>
    </row>
    <row r="35" customFormat="false" ht="15" hidden="false" customHeight="false" outlineLevel="0" collapsed="false">
      <c r="A35" s="9" t="s">
        <v>238</v>
      </c>
      <c r="B35" s="9" t="s">
        <v>48</v>
      </c>
      <c r="C35" s="9" t="s">
        <v>369</v>
      </c>
      <c r="D35" s="10"/>
      <c r="E35" s="10"/>
      <c r="F35" s="10"/>
      <c r="G35" s="9" t="s">
        <v>370</v>
      </c>
    </row>
    <row r="36" customFormat="false" ht="15" hidden="false" customHeight="false" outlineLevel="0" collapsed="false">
      <c r="A36" s="9" t="s">
        <v>238</v>
      </c>
      <c r="B36" s="9" t="s">
        <v>286</v>
      </c>
      <c r="C36" s="9" t="s">
        <v>369</v>
      </c>
      <c r="D36" s="10"/>
      <c r="E36" s="10"/>
      <c r="F36" s="10"/>
      <c r="G36" s="9" t="s">
        <v>370</v>
      </c>
    </row>
    <row r="37" customFormat="false" ht="15" hidden="false" customHeight="false" outlineLevel="0" collapsed="false">
      <c r="A37" s="9" t="s">
        <v>238</v>
      </c>
      <c r="B37" s="9" t="s">
        <v>287</v>
      </c>
      <c r="C37" s="9" t="s">
        <v>369</v>
      </c>
      <c r="D37" s="10"/>
      <c r="E37" s="10"/>
      <c r="F37" s="10"/>
      <c r="G37" s="9" t="s">
        <v>370</v>
      </c>
    </row>
    <row r="38" customFormat="false" ht="15" hidden="false" customHeight="false" outlineLevel="0" collapsed="false">
      <c r="A38" s="9" t="s">
        <v>238</v>
      </c>
      <c r="B38" s="9" t="s">
        <v>289</v>
      </c>
      <c r="C38" s="9" t="s">
        <v>369</v>
      </c>
      <c r="D38" s="10"/>
      <c r="E38" s="10"/>
      <c r="F38" s="10"/>
      <c r="G38" s="9" t="s">
        <v>370</v>
      </c>
    </row>
    <row r="39" customFormat="false" ht="15" hidden="false" customHeight="false" outlineLevel="0" collapsed="false">
      <c r="A39" s="9" t="s">
        <v>238</v>
      </c>
      <c r="B39" s="9" t="s">
        <v>122</v>
      </c>
      <c r="C39" s="9" t="s">
        <v>369</v>
      </c>
      <c r="D39" s="10"/>
      <c r="E39" s="10"/>
      <c r="F39" s="10"/>
      <c r="G39" s="9" t="s">
        <v>370</v>
      </c>
    </row>
    <row r="40" customFormat="false" ht="15" hidden="false" customHeight="false" outlineLevel="0" collapsed="false">
      <c r="A40" s="9" t="s">
        <v>238</v>
      </c>
      <c r="B40" s="9" t="s">
        <v>141</v>
      </c>
      <c r="C40" s="9" t="s">
        <v>369</v>
      </c>
      <c r="D40" s="10"/>
      <c r="E40" s="10"/>
      <c r="F40" s="10"/>
      <c r="G40" s="9" t="s">
        <v>370</v>
      </c>
    </row>
    <row r="41" customFormat="false" ht="15" hidden="false" customHeight="false" outlineLevel="0" collapsed="false">
      <c r="A41" s="9" t="s">
        <v>328</v>
      </c>
      <c r="B41" s="9" t="s">
        <v>72</v>
      </c>
      <c r="C41" s="9" t="s">
        <v>369</v>
      </c>
      <c r="D41" s="10"/>
      <c r="E41" s="10"/>
      <c r="F41" s="10"/>
      <c r="G41" s="9" t="s">
        <v>370</v>
      </c>
    </row>
    <row r="42" customFormat="false" ht="15" hidden="false" customHeight="false" outlineLevel="0" collapsed="false">
      <c r="A42" s="9" t="s">
        <v>328</v>
      </c>
      <c r="B42" s="9" t="s">
        <v>58</v>
      </c>
      <c r="C42" s="9" t="s">
        <v>369</v>
      </c>
      <c r="D42" s="10"/>
      <c r="E42" s="10"/>
      <c r="F42" s="10"/>
      <c r="G42" s="9" t="s">
        <v>370</v>
      </c>
    </row>
    <row r="43" customFormat="false" ht="15" hidden="false" customHeight="false" outlineLevel="0" collapsed="false">
      <c r="A43" s="9" t="s">
        <v>328</v>
      </c>
      <c r="B43" s="9" t="s">
        <v>128</v>
      </c>
      <c r="C43" s="9" t="s">
        <v>369</v>
      </c>
      <c r="D43" s="10"/>
      <c r="E43" s="10"/>
      <c r="F43" s="10"/>
      <c r="G43" s="9" t="s">
        <v>370</v>
      </c>
    </row>
    <row r="44" customFormat="false" ht="15" hidden="false" customHeight="false" outlineLevel="0" collapsed="false">
      <c r="A44" s="9" t="s">
        <v>328</v>
      </c>
      <c r="B44" s="9" t="s">
        <v>283</v>
      </c>
      <c r="C44" s="9" t="s">
        <v>369</v>
      </c>
      <c r="D44" s="10"/>
      <c r="E44" s="10"/>
      <c r="F44" s="10"/>
      <c r="G44" s="9" t="s">
        <v>370</v>
      </c>
    </row>
    <row r="45" customFormat="false" ht="15" hidden="false" customHeight="false" outlineLevel="0" collapsed="false">
      <c r="A45" s="9" t="s">
        <v>328</v>
      </c>
      <c r="B45" s="9" t="s">
        <v>48</v>
      </c>
      <c r="C45" s="9" t="s">
        <v>369</v>
      </c>
      <c r="D45" s="10"/>
      <c r="E45" s="10"/>
      <c r="F45" s="10"/>
      <c r="G45" s="9" t="s">
        <v>370</v>
      </c>
    </row>
    <row r="46" customFormat="false" ht="15" hidden="false" customHeight="false" outlineLevel="0" collapsed="false">
      <c r="A46" s="9" t="s">
        <v>328</v>
      </c>
      <c r="B46" s="9" t="s">
        <v>286</v>
      </c>
      <c r="C46" s="9" t="s">
        <v>369</v>
      </c>
      <c r="D46" s="10"/>
      <c r="E46" s="10"/>
      <c r="F46" s="10"/>
      <c r="G46" s="9" t="s">
        <v>370</v>
      </c>
    </row>
    <row r="47" customFormat="false" ht="15" hidden="false" customHeight="false" outlineLevel="0" collapsed="false">
      <c r="A47" s="9" t="s">
        <v>328</v>
      </c>
      <c r="B47" s="9" t="s">
        <v>287</v>
      </c>
      <c r="C47" s="9" t="s">
        <v>369</v>
      </c>
      <c r="D47" s="10"/>
      <c r="E47" s="10"/>
      <c r="F47" s="10"/>
      <c r="G47" s="9" t="s">
        <v>370</v>
      </c>
    </row>
    <row r="48" customFormat="false" ht="15" hidden="false" customHeight="false" outlineLevel="0" collapsed="false">
      <c r="A48" s="9" t="s">
        <v>328</v>
      </c>
      <c r="B48" s="9" t="s">
        <v>289</v>
      </c>
      <c r="C48" s="9" t="s">
        <v>369</v>
      </c>
      <c r="D48" s="10"/>
      <c r="E48" s="10"/>
      <c r="F48" s="10"/>
      <c r="G48" s="9" t="s">
        <v>370</v>
      </c>
    </row>
    <row r="49" customFormat="false" ht="15" hidden="false" customHeight="false" outlineLevel="0" collapsed="false">
      <c r="A49" s="9" t="s">
        <v>328</v>
      </c>
      <c r="B49" s="9" t="s">
        <v>122</v>
      </c>
      <c r="C49" s="9" t="s">
        <v>369</v>
      </c>
      <c r="D49" s="10"/>
      <c r="E49" s="10"/>
      <c r="F49" s="10"/>
      <c r="G49" s="9" t="s">
        <v>370</v>
      </c>
    </row>
    <row r="50" customFormat="false" ht="15" hidden="false" customHeight="false" outlineLevel="0" collapsed="false">
      <c r="A50" s="9" t="s">
        <v>328</v>
      </c>
      <c r="B50" s="9" t="s">
        <v>141</v>
      </c>
      <c r="C50" s="9" t="s">
        <v>369</v>
      </c>
      <c r="D50" s="10"/>
      <c r="E50" s="10"/>
      <c r="F50" s="10"/>
      <c r="G50" s="9" t="s">
        <v>370</v>
      </c>
    </row>
    <row r="51" customFormat="false" ht="23.85" hidden="false" customHeight="false" outlineLevel="0" collapsed="false">
      <c r="A51" s="9" t="s">
        <v>331</v>
      </c>
      <c r="B51" s="9" t="s">
        <v>72</v>
      </c>
      <c r="C51" s="9" t="s">
        <v>369</v>
      </c>
      <c r="D51" s="10"/>
      <c r="E51" s="10"/>
      <c r="F51" s="10"/>
      <c r="G51" s="9" t="s">
        <v>370</v>
      </c>
    </row>
    <row r="52" customFormat="false" ht="23.85" hidden="false" customHeight="false" outlineLevel="0" collapsed="false">
      <c r="A52" s="9" t="s">
        <v>331</v>
      </c>
      <c r="B52" s="9" t="s">
        <v>58</v>
      </c>
      <c r="C52" s="9" t="s">
        <v>369</v>
      </c>
      <c r="D52" s="10"/>
      <c r="E52" s="10"/>
      <c r="F52" s="10"/>
      <c r="G52" s="9" t="s">
        <v>370</v>
      </c>
    </row>
    <row r="53" customFormat="false" ht="23.85" hidden="false" customHeight="false" outlineLevel="0" collapsed="false">
      <c r="A53" s="9" t="s">
        <v>331</v>
      </c>
      <c r="B53" s="9" t="s">
        <v>128</v>
      </c>
      <c r="C53" s="9" t="s">
        <v>369</v>
      </c>
      <c r="D53" s="10"/>
      <c r="E53" s="10"/>
      <c r="F53" s="10"/>
      <c r="G53" s="9" t="s">
        <v>370</v>
      </c>
    </row>
    <row r="54" customFormat="false" ht="23.85" hidden="false" customHeight="false" outlineLevel="0" collapsed="false">
      <c r="A54" s="9" t="s">
        <v>331</v>
      </c>
      <c r="B54" s="9" t="s">
        <v>283</v>
      </c>
      <c r="C54" s="9" t="s">
        <v>369</v>
      </c>
      <c r="D54" s="10"/>
      <c r="E54" s="10"/>
      <c r="F54" s="10"/>
      <c r="G54" s="9" t="s">
        <v>370</v>
      </c>
    </row>
    <row r="55" customFormat="false" ht="23.85" hidden="false" customHeight="false" outlineLevel="0" collapsed="false">
      <c r="A55" s="9" t="s">
        <v>331</v>
      </c>
      <c r="B55" s="9" t="s">
        <v>48</v>
      </c>
      <c r="C55" s="9" t="s">
        <v>369</v>
      </c>
      <c r="D55" s="10"/>
      <c r="E55" s="10"/>
      <c r="F55" s="10"/>
      <c r="G55" s="9" t="s">
        <v>370</v>
      </c>
    </row>
    <row r="56" customFormat="false" ht="23.85" hidden="false" customHeight="false" outlineLevel="0" collapsed="false">
      <c r="A56" s="9" t="s">
        <v>331</v>
      </c>
      <c r="B56" s="9" t="s">
        <v>286</v>
      </c>
      <c r="C56" s="9" t="s">
        <v>369</v>
      </c>
      <c r="D56" s="10"/>
      <c r="E56" s="10"/>
      <c r="F56" s="10"/>
      <c r="G56" s="9" t="s">
        <v>370</v>
      </c>
    </row>
    <row r="57" customFormat="false" ht="23.85" hidden="false" customHeight="false" outlineLevel="0" collapsed="false">
      <c r="A57" s="9" t="s">
        <v>331</v>
      </c>
      <c r="B57" s="9" t="s">
        <v>287</v>
      </c>
      <c r="C57" s="9" t="s">
        <v>369</v>
      </c>
      <c r="D57" s="10"/>
      <c r="E57" s="10"/>
      <c r="F57" s="10"/>
      <c r="G57" s="9" t="s">
        <v>370</v>
      </c>
    </row>
    <row r="58" customFormat="false" ht="23.85" hidden="false" customHeight="false" outlineLevel="0" collapsed="false">
      <c r="A58" s="9" t="s">
        <v>331</v>
      </c>
      <c r="B58" s="9" t="s">
        <v>289</v>
      </c>
      <c r="C58" s="9" t="s">
        <v>369</v>
      </c>
      <c r="D58" s="10"/>
      <c r="E58" s="10"/>
      <c r="F58" s="10"/>
      <c r="G58" s="9" t="s">
        <v>370</v>
      </c>
    </row>
    <row r="59" customFormat="false" ht="23.85" hidden="false" customHeight="false" outlineLevel="0" collapsed="false">
      <c r="A59" s="9" t="s">
        <v>331</v>
      </c>
      <c r="B59" s="9" t="s">
        <v>122</v>
      </c>
      <c r="C59" s="9" t="s">
        <v>369</v>
      </c>
      <c r="D59" s="10"/>
      <c r="E59" s="10"/>
      <c r="F59" s="10"/>
      <c r="G59" s="9" t="s">
        <v>370</v>
      </c>
    </row>
    <row r="60" customFormat="false" ht="23.85" hidden="false" customHeight="false" outlineLevel="0" collapsed="false">
      <c r="A60" s="9" t="s">
        <v>331</v>
      </c>
      <c r="B60" s="9" t="s">
        <v>141</v>
      </c>
      <c r="C60" s="9" t="s">
        <v>369</v>
      </c>
      <c r="D60" s="10"/>
      <c r="E60" s="10"/>
      <c r="F60" s="10"/>
      <c r="G60" s="9" t="s">
        <v>370</v>
      </c>
    </row>
    <row r="61" customFormat="false" ht="15" hidden="false" customHeight="false" outlineLevel="0" collapsed="false">
      <c r="A61" s="9" t="s">
        <v>335</v>
      </c>
      <c r="B61" s="9" t="s">
        <v>72</v>
      </c>
      <c r="C61" s="9" t="s">
        <v>369</v>
      </c>
      <c r="D61" s="10"/>
      <c r="E61" s="10"/>
      <c r="F61" s="10"/>
      <c r="G61" s="9" t="s">
        <v>370</v>
      </c>
    </row>
    <row r="62" customFormat="false" ht="15" hidden="false" customHeight="false" outlineLevel="0" collapsed="false">
      <c r="A62" s="9" t="s">
        <v>335</v>
      </c>
      <c r="B62" s="9" t="s">
        <v>58</v>
      </c>
      <c r="C62" s="9" t="s">
        <v>369</v>
      </c>
      <c r="D62" s="10"/>
      <c r="E62" s="10"/>
      <c r="F62" s="10"/>
      <c r="G62" s="9" t="s">
        <v>370</v>
      </c>
    </row>
    <row r="63" customFormat="false" ht="15" hidden="false" customHeight="false" outlineLevel="0" collapsed="false">
      <c r="A63" s="9" t="s">
        <v>335</v>
      </c>
      <c r="B63" s="9" t="s">
        <v>128</v>
      </c>
      <c r="C63" s="9" t="s">
        <v>369</v>
      </c>
      <c r="D63" s="10"/>
      <c r="E63" s="10"/>
      <c r="F63" s="10"/>
      <c r="G63" s="9" t="s">
        <v>370</v>
      </c>
    </row>
    <row r="64" customFormat="false" ht="15" hidden="false" customHeight="false" outlineLevel="0" collapsed="false">
      <c r="A64" s="9" t="s">
        <v>335</v>
      </c>
      <c r="B64" s="9" t="s">
        <v>283</v>
      </c>
      <c r="C64" s="9" t="s">
        <v>369</v>
      </c>
      <c r="D64" s="10"/>
      <c r="E64" s="10"/>
      <c r="F64" s="10"/>
      <c r="G64" s="9" t="s">
        <v>370</v>
      </c>
    </row>
    <row r="65" customFormat="false" ht="15" hidden="false" customHeight="false" outlineLevel="0" collapsed="false">
      <c r="A65" s="9" t="s">
        <v>335</v>
      </c>
      <c r="B65" s="9" t="s">
        <v>48</v>
      </c>
      <c r="C65" s="9" t="s">
        <v>369</v>
      </c>
      <c r="D65" s="10"/>
      <c r="E65" s="10"/>
      <c r="F65" s="10"/>
      <c r="G65" s="9" t="s">
        <v>370</v>
      </c>
    </row>
    <row r="66" customFormat="false" ht="15" hidden="false" customHeight="false" outlineLevel="0" collapsed="false">
      <c r="A66" s="9" t="s">
        <v>335</v>
      </c>
      <c r="B66" s="9" t="s">
        <v>286</v>
      </c>
      <c r="C66" s="9" t="s">
        <v>369</v>
      </c>
      <c r="D66" s="10"/>
      <c r="E66" s="10"/>
      <c r="F66" s="10"/>
      <c r="G66" s="9" t="s">
        <v>370</v>
      </c>
    </row>
    <row r="67" customFormat="false" ht="15" hidden="false" customHeight="false" outlineLevel="0" collapsed="false">
      <c r="A67" s="9" t="s">
        <v>335</v>
      </c>
      <c r="B67" s="9" t="s">
        <v>287</v>
      </c>
      <c r="C67" s="9" t="s">
        <v>369</v>
      </c>
      <c r="D67" s="10"/>
      <c r="E67" s="10"/>
      <c r="F67" s="10"/>
      <c r="G67" s="9" t="s">
        <v>370</v>
      </c>
    </row>
    <row r="68" customFormat="false" ht="15" hidden="false" customHeight="false" outlineLevel="0" collapsed="false">
      <c r="A68" s="9" t="s">
        <v>335</v>
      </c>
      <c r="B68" s="9" t="s">
        <v>289</v>
      </c>
      <c r="C68" s="9" t="s">
        <v>369</v>
      </c>
      <c r="D68" s="10"/>
      <c r="E68" s="10"/>
      <c r="F68" s="10"/>
      <c r="G68" s="9" t="s">
        <v>370</v>
      </c>
    </row>
    <row r="69" customFormat="false" ht="15" hidden="false" customHeight="false" outlineLevel="0" collapsed="false">
      <c r="A69" s="9" t="s">
        <v>335</v>
      </c>
      <c r="B69" s="9" t="s">
        <v>122</v>
      </c>
      <c r="C69" s="9" t="s">
        <v>369</v>
      </c>
      <c r="D69" s="10"/>
      <c r="E69" s="10"/>
      <c r="F69" s="10"/>
      <c r="G69" s="9" t="s">
        <v>370</v>
      </c>
    </row>
    <row r="70" customFormat="false" ht="15" hidden="false" customHeight="false" outlineLevel="0" collapsed="false">
      <c r="A70" s="9" t="s">
        <v>335</v>
      </c>
      <c r="B70" s="9" t="s">
        <v>141</v>
      </c>
      <c r="C70" s="9" t="s">
        <v>369</v>
      </c>
      <c r="D70" s="10"/>
      <c r="E70" s="10"/>
      <c r="F70" s="10"/>
      <c r="G70" s="9" t="s">
        <v>370</v>
      </c>
    </row>
    <row r="71" customFormat="false" ht="23.85" hidden="false" customHeight="false" outlineLevel="0" collapsed="false">
      <c r="A71" s="9" t="s">
        <v>339</v>
      </c>
      <c r="B71" s="9" t="s">
        <v>72</v>
      </c>
      <c r="C71" s="9" t="s">
        <v>369</v>
      </c>
      <c r="D71" s="10"/>
      <c r="E71" s="10"/>
      <c r="F71" s="10"/>
      <c r="G71" s="9" t="s">
        <v>371</v>
      </c>
    </row>
    <row r="72" customFormat="false" ht="23.85" hidden="false" customHeight="false" outlineLevel="0" collapsed="false">
      <c r="A72" s="9" t="s">
        <v>339</v>
      </c>
      <c r="B72" s="9" t="s">
        <v>58</v>
      </c>
      <c r="C72" s="9" t="s">
        <v>369</v>
      </c>
      <c r="D72" s="10"/>
      <c r="E72" s="10"/>
      <c r="F72" s="10"/>
      <c r="G72" s="9" t="s">
        <v>371</v>
      </c>
    </row>
    <row r="73" customFormat="false" ht="23.85" hidden="false" customHeight="false" outlineLevel="0" collapsed="false">
      <c r="A73" s="9" t="s">
        <v>339</v>
      </c>
      <c r="B73" s="9" t="s">
        <v>128</v>
      </c>
      <c r="C73" s="9" t="s">
        <v>369</v>
      </c>
      <c r="D73" s="10"/>
      <c r="E73" s="10"/>
      <c r="F73" s="10"/>
      <c r="G73" s="9" t="s">
        <v>371</v>
      </c>
    </row>
    <row r="74" customFormat="false" ht="23.85" hidden="false" customHeight="false" outlineLevel="0" collapsed="false">
      <c r="A74" s="9" t="s">
        <v>339</v>
      </c>
      <c r="B74" s="9" t="s">
        <v>283</v>
      </c>
      <c r="C74" s="9" t="s">
        <v>369</v>
      </c>
      <c r="D74" s="10"/>
      <c r="E74" s="10"/>
      <c r="F74" s="10"/>
      <c r="G74" s="9" t="s">
        <v>371</v>
      </c>
    </row>
    <row r="75" customFormat="false" ht="23.85" hidden="false" customHeight="false" outlineLevel="0" collapsed="false">
      <c r="A75" s="9" t="s">
        <v>339</v>
      </c>
      <c r="B75" s="9" t="s">
        <v>48</v>
      </c>
      <c r="C75" s="9" t="s">
        <v>369</v>
      </c>
      <c r="D75" s="10"/>
      <c r="E75" s="10"/>
      <c r="F75" s="10"/>
      <c r="G75" s="9" t="s">
        <v>371</v>
      </c>
    </row>
    <row r="76" customFormat="false" ht="23.85" hidden="false" customHeight="false" outlineLevel="0" collapsed="false">
      <c r="A76" s="9" t="s">
        <v>339</v>
      </c>
      <c r="B76" s="9" t="s">
        <v>286</v>
      </c>
      <c r="C76" s="9" t="s">
        <v>369</v>
      </c>
      <c r="D76" s="10"/>
      <c r="E76" s="10"/>
      <c r="F76" s="10"/>
      <c r="G76" s="9" t="s">
        <v>371</v>
      </c>
    </row>
    <row r="77" customFormat="false" ht="23.85" hidden="false" customHeight="false" outlineLevel="0" collapsed="false">
      <c r="A77" s="9" t="s">
        <v>339</v>
      </c>
      <c r="B77" s="9" t="s">
        <v>287</v>
      </c>
      <c r="C77" s="9" t="s">
        <v>369</v>
      </c>
      <c r="D77" s="10"/>
      <c r="E77" s="10"/>
      <c r="F77" s="10"/>
      <c r="G77" s="9" t="s">
        <v>371</v>
      </c>
    </row>
    <row r="78" customFormat="false" ht="23.85" hidden="false" customHeight="false" outlineLevel="0" collapsed="false">
      <c r="A78" s="9" t="s">
        <v>339</v>
      </c>
      <c r="B78" s="9" t="s">
        <v>289</v>
      </c>
      <c r="C78" s="9" t="s">
        <v>369</v>
      </c>
      <c r="D78" s="10"/>
      <c r="E78" s="10"/>
      <c r="F78" s="10"/>
      <c r="G78" s="9" t="s">
        <v>371</v>
      </c>
    </row>
    <row r="79" customFormat="false" ht="23.85" hidden="false" customHeight="false" outlineLevel="0" collapsed="false">
      <c r="A79" s="9" t="s">
        <v>339</v>
      </c>
      <c r="B79" s="9" t="s">
        <v>122</v>
      </c>
      <c r="C79" s="9" t="s">
        <v>369</v>
      </c>
      <c r="D79" s="10"/>
      <c r="E79" s="10"/>
      <c r="F79" s="10"/>
      <c r="G79" s="9" t="s">
        <v>371</v>
      </c>
    </row>
    <row r="80" customFormat="false" ht="23.85" hidden="false" customHeight="false" outlineLevel="0" collapsed="false">
      <c r="A80" s="9" t="s">
        <v>339</v>
      </c>
      <c r="B80" s="9" t="s">
        <v>141</v>
      </c>
      <c r="C80" s="9" t="s">
        <v>369</v>
      </c>
      <c r="D80" s="10"/>
      <c r="E80" s="10"/>
      <c r="F80" s="10"/>
      <c r="G80" s="9" t="s">
        <v>371</v>
      </c>
    </row>
  </sheetData>
  <autoFilter ref="A4:G8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2026-10-06T18:06:23Z</dcterms:created>
  <dc:creator>openpyxl</dc:creator>
  <dc:description/>
  <dc:language>en-US</dc:language>
  <cp:lastModifiedBy/>
  <dcterms:modified xsi:type="dcterms:W3CDTF">2026-10-06T18:06:24Z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